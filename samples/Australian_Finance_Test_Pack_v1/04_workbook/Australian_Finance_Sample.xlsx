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56a48b849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 Summary" sheetId="1" r:id="R6fb636dca8384012"/>
    <x:sheet xmlns:r="http://schemas.openxmlformats.org/officeDocument/2006/relationships" name="Home Mortgage" sheetId="2" r:id="Rd023b992cef945dd"/>
    <x:sheet xmlns:r="http://schemas.openxmlformats.org/officeDocument/2006/relationships" name="Rental Mortgage" sheetId="3" r:id="Rf539bbfa65c34bd3"/>
    <x:sheet xmlns:r="http://schemas.openxmlformats.org/officeDocument/2006/relationships" name="Rental Statement" sheetId="4" r:id="Re44cdaf0fbd54044"/>
    <x:sheet xmlns:r="http://schemas.openxmlformats.org/officeDocument/2006/relationships" name="Bank Movements" sheetId="5" r:id="Rc799be59b8e5423b"/>
    <x:sheet xmlns:r="http://schemas.openxmlformats.org/officeDocument/2006/relationships" name="Invoice Register" sheetId="6" r:id="Racadc120bbd7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;(#,##0.00);0.00"/>
    <x:numFmt numFmtId="202" formatCode="0.00%"/>
  </x:numFmts>
  <x:fonts count="4">
    <x:font>
      <x:sz val="11"/>
      <x:name val="Carlito"/>
    </x:font>
    <x:font>
      <x:sz val="10"/>
      <x:color rgb="FF243746"/>
      <x:name val="Arial"/>
    </x:font>
    <x:font>
      <x:b/>
      <x:sz val="18"/>
      <x:color rgb="FF1933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a078c65244bd5" /><Relationship Type="http://schemas.openxmlformats.org/officeDocument/2006/relationships/theme" Target="/xl/theme/theme1.xml" Id="Re21c9ce939764627" /><Relationship Type="http://schemas.openxmlformats.org/officeDocument/2006/relationships/sharedStrings" Target="/xl/sharedStrings.xml" Id="R3bf6c3c09e1944e5" /><Relationship Type="http://schemas.openxmlformats.org/officeDocument/2006/relationships/worksheet" Target="/xl/worksheets/sheet1.xml" Id="R6fb636dca8384012" /><Relationship Type="http://schemas.openxmlformats.org/officeDocument/2006/relationships/worksheet" Target="/xl/worksheets/sheet2.xml" Id="Rd023b992cef945dd" /><Relationship Type="http://schemas.openxmlformats.org/officeDocument/2006/relationships/worksheet" Target="/xl/worksheets/sheet3.xml" Id="Rf539bbfa65c34bd3" /><Relationship Type="http://schemas.openxmlformats.org/officeDocument/2006/relationships/worksheet" Target="/xl/worksheets/sheet4.xml" Id="Re44cdaf0fbd54044" /><Relationship Type="http://schemas.openxmlformats.org/officeDocument/2006/relationships/worksheet" Target="/xl/worksheets/sheet5.xml" Id="Rc799be59b8e5423b" /><Relationship Type="http://schemas.openxmlformats.org/officeDocument/2006/relationships/worksheet" Target="/xl/worksheets/sheet6.xml" Id="Racadc120bbd74a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</x:row>
    <x:row r="2" ht="32" customHeight="1">
      <x:c r="A2" s="2" t="str">
        <x:v>Australian finance test pack</x:v>
      </x:c>
      <x:c r="B2" s="2"/>
      <x:c r="C2" s="2"/>
      <x:c r="D2" s="2"/>
      <x:c r="E2" s="2"/>
      <x:c r="F2" s="2"/>
      <x:c r="G2" s="2"/>
      <x:c r="H2" s="2"/>
    </x:row>
    <x:row r="3" ht="21" customHeight="1">
      <x:c r="A3" s="1" t="str">
        <x:v>SYNTHETIC TEST DATA | 1 July–30 September 2025 | All values AUD</x:v>
      </x:c>
      <x:c r="B3" s="1"/>
      <x:c r="C3" s="1"/>
      <x:c r="D3" s="1"/>
      <x:c r="E3" s="1"/>
      <x:c r="F3" s="1"/>
      <x:c r="G3" s="1"/>
      <x:c r="H3" s="1"/>
    </x:row>
    <x:row r="4" ht="21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5" t="str">
        <x:v>Account ID</x:v>
      </x:c>
      <x:c r="B5" s="5" t="str">
        <x:v>Account name</x:v>
      </x:c>
      <x:c r="C5" s="5" t="str">
        <x:v>Opening</x:v>
      </x:c>
      <x:c r="D5" s="5" t="str">
        <x:v>Money in</x:v>
      </x:c>
      <x:c r="E5" s="5" t="str">
        <x:v>Money out</x:v>
      </x:c>
      <x:c r="F5" s="5" t="str">
        <x:v>Closing</x:v>
      </x:c>
      <x:c r="G5" s="5" t="str">
        <x:v>Expected closing</x:v>
      </x:c>
      <x:c r="H5" s="5" t="str">
        <x:v>Difference</x:v>
      </x:c>
    </x:row>
    <x:row r="6" ht="21" customHeight="1">
      <x:c r="A6" s="1" t="str">
        <x:v>HH-EVERYDAY</x:v>
      </x:c>
      <x:c r="B6" s="1" t="str">
        <x:v>Everyday Checking</x:v>
      </x:c>
      <x:c r="C6" s="7" t="n">
        <x:v>15000</x:v>
      </x:c>
      <x:c r="D6" s="7" t="n">
        <x:f>SUMIFS('Bank Movements'!$E$6:$E$124,'Bank Movements'!$B$6:$B$124,A6,'Bank Movements'!$E$6:$E$124,"&gt;0")</x:f>
        <x:v>32755</x:v>
      </x:c>
      <x:c r="E6" s="7" t="n">
        <x:f>-SUMIFS('Bank Movements'!$E$6:$E$124,'Bank Movements'!$B$6:$B$124,A6,'Bank Movements'!$E$6:$E$124,"&lt;0")</x:f>
        <x:v>21485.85</x:v>
      </x:c>
      <x:c r="F6" s="7" t="n">
        <x:f>ROUND(C6+D6-E6,2)</x:f>
        <x:v>26269.15</x:v>
      </x:c>
      <x:c r="G6" s="7" t="n">
        <x:v>26269.15</x:v>
      </x:c>
      <x:c r="H6" s="7" t="n">
        <x:f>ROUND(F6-G6,2)</x:f>
        <x:v>0</x:v>
      </x:c>
    </x:row>
    <x:row r="7" ht="21" customHeight="1">
      <x:c r="A7" s="1" t="str">
        <x:v>HH-SAVINGS</x:v>
      </x:c>
      <x:c r="B7" s="1" t="str">
        <x:v>Rainy Day Savings</x:v>
      </x:c>
      <x:c r="C7" s="7" t="n">
        <x:v>25000</x:v>
      </x:c>
      <x:c r="D7" s="7" t="n">
        <x:f>SUMIFS('Bank Movements'!$E$6:$E$124,'Bank Movements'!$B$6:$B$124,A7,'Bank Movements'!$E$6:$E$124,"&gt;0")</x:f>
        <x:v>3294</x:v>
      </x:c>
      <x:c r="E7" s="7" t="n">
        <x:f>-SUMIFS('Bank Movements'!$E$6:$E$124,'Bank Movements'!$B$6:$B$124,A7,'Bank Movements'!$E$6:$E$124,"&lt;0")</x:f>
        <x:v>0</x:v>
      </x:c>
      <x:c r="F7" s="7" t="n">
        <x:f>ROUND(C7+D7-E7,2)</x:f>
        <x:v>28294</x:v>
      </x:c>
      <x:c r="G7" s="7" t="n">
        <x:v>28294</x:v>
      </x:c>
      <x:c r="H7" s="7" t="n">
        <x:f>ROUND(F7-G7,2)</x:f>
        <x:v>0</x:v>
      </x:c>
    </x:row>
    <x:row r="8" ht="21" customHeight="1">
      <x:c r="A8" s="1" t="str">
        <x:v>HH-CARD</x:v>
      </x:c>
      <x:c r="B8" s="1" t="str">
        <x:v>Everyday Credit Card</x:v>
      </x:c>
      <x:c r="C8" s="7" t="n">
        <x:v>-600</x:v>
      </x:c>
      <x:c r="D8" s="7" t="n">
        <x:f>SUMIFS('Bank Movements'!$E$6:$E$124,'Bank Movements'!$B$6:$B$124,A8,'Bank Movements'!$E$6:$E$124,"&gt;0")</x:f>
        <x:v>1579.1999999999998</x:v>
      </x:c>
      <x:c r="E8" s="7" t="n">
        <x:f>-SUMIFS('Bank Movements'!$E$6:$E$124,'Bank Movements'!$B$6:$B$124,A8,'Bank Movements'!$E$6:$E$124,"&lt;0")</x:f>
        <x:v>979.1999999999999</x:v>
      </x:c>
      <x:c r="F8" s="7" t="n">
        <x:f>ROUND(C8+D8-E8,2)</x:f>
        <x:v>0</x:v>
      </x:c>
      <x:c r="G8" s="7" t="n">
        <x:v>0</x:v>
      </x:c>
      <x:c r="H8" s="7" t="n">
        <x:f>ROUND(F8-G8,2)</x:f>
        <x:v>0</x:v>
      </x:c>
    </x:row>
    <x:row r="9" ht="21" customHeight="1">
      <x:c r="A9" s="1" t="str">
        <x:v>HH-RENTAL</x:v>
      </x:c>
      <x:c r="B9" s="1" t="str">
        <x:v>Rental Property Bank</x:v>
      </x:c>
      <x:c r="C9" s="7" t="n">
        <x:v>5000</x:v>
      </x:c>
      <x:c r="D9" s="7" t="n">
        <x:f>SUMIFS('Bank Movements'!$E$6:$E$124,'Bank Movements'!$B$6:$B$124,A9,'Bank Movements'!$E$6:$E$124,"&gt;0")</x:f>
        <x:v>7228.5</x:v>
      </x:c>
      <x:c r="E9" s="7" t="n">
        <x:f>-SUMIFS('Bank Movements'!$E$6:$E$124,'Bank Movements'!$B$6:$B$124,A9,'Bank Movements'!$E$6:$E$124,"&lt;0")</x:f>
        <x:v>8228.34</x:v>
      </x:c>
      <x:c r="F9" s="7" t="n">
        <x:f>ROUND(C9+D9-E9,2)</x:f>
        <x:v>4000.16</x:v>
      </x:c>
      <x:c r="G9" s="7" t="n">
        <x:v>4000.16</x:v>
      </x:c>
      <x:c r="H9" s="7" t="n">
        <x:f>ROUND(F9-G9,2)</x:f>
        <x:v>0</x:v>
      </x:c>
    </x:row>
    <x:row r="10" ht="21" customHeight="1">
      <x:c r="A10" s="1" t="str">
        <x:v>BIZ-BANK</x:v>
      </x:c>
      <x:c r="B10" s="1" t="str">
        <x:v>Business Operating</x:v>
      </x:c>
      <x:c r="C10" s="7" t="n">
        <x:v>20000</x:v>
      </x:c>
      <x:c r="D10" s="7" t="n">
        <x:f>SUMIFS('Bank Movements'!$E$6:$E$124,'Bank Movements'!$B$6:$B$124,A10,'Bank Movements'!$E$6:$E$124,"&gt;0")</x:f>
        <x:v>16500</x:v>
      </x:c>
      <x:c r="E10" s="7" t="n">
        <x:f>-SUMIFS('Bank Movements'!$E$6:$E$124,'Bank Movements'!$B$6:$B$124,A10,'Bank Movements'!$E$6:$E$124,"&lt;0")</x:f>
        <x:v>1925</x:v>
      </x:c>
      <x:c r="F10" s="7" t="n">
        <x:f>ROUND(C10+D10-E10,2)</x:f>
        <x:v>34575</x:v>
      </x:c>
      <x:c r="G10" s="7" t="n">
        <x:v>34575</x:v>
      </x:c>
      <x:c r="H10" s="7" t="n">
        <x:f>ROUND(F10-G10,2)</x:f>
        <x:v>0</x:v>
      </x:c>
    </x:row>
    <x:row r="11" ht="21" customHeight="1">
      <x:c r="A11" s="1"/>
      <x:c r="B11" s="1"/>
      <x:c r="C11" s="1"/>
      <x:c r="D11" s="1"/>
      <x:c r="E11" s="1"/>
      <x:c r="F11" s="1"/>
      <x:c r="G11" s="1"/>
      <x:c r="H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</x:row>
    <x:row r="13" ht="30" customHeight="1">
      <x:c r="A13" s="5" t="str">
        <x:v>How to use this workbook</x:v>
      </x:c>
      <x:c r="B13" s="5"/>
      <x:c r="C13" s="5"/>
      <x:c r="D13" s="5"/>
      <x:c r="E13" s="5"/>
      <x:c r="F13" s="5"/>
      <x:c r="G13" s="5"/>
      <x:c r="H13" s="5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</x:row>
    <x:row r="15" ht="21" customHeight="1">
      <x:c r="A15" s="1" t="str">
        <x:v>Reference workbook: the app currently imports bank CSVs and selected receipt PDFs.</x:v>
      </x:c>
      <x:c r="B15" s="1"/>
      <x:c r="C15" s="1"/>
      <x:c r="D15" s="1"/>
      <x:c r="E15" s="1"/>
      <x:c r="F15" s="1"/>
      <x:c r="G15" s="1"/>
      <x:c r="H15" s="1"/>
    </x:row>
    <x:row r="16" ht="21" customHeight="1">
      <x:c r="A16" s="1" t="str">
        <x:v>Start with the separate four-transaction starter scenario in 01_start_here.</x:v>
      </x:c>
      <x:c r="B16" s="1"/>
      <x:c r="C16" s="1"/>
      <x:c r="D16" s="1"/>
      <x:c r="E16" s="1"/>
      <x:c r="F16" s="1"/>
      <x:c r="G16" s="1"/>
      <x:c r="H16" s="1"/>
    </x:row>
    <x:row r="17" ht="21" customHeight="1">
      <x:c r="A17" s="1" t="str">
        <x:v>Use full-quarter exports in a different isolated vault; they overlap the starter files.</x:v>
      </x:c>
      <x:c r="B17" s="1"/>
      <x:c r="C17" s="1"/>
      <x:c r="D17" s="1"/>
      <x:c r="E17" s="1"/>
      <x:c r="F17" s="1"/>
      <x:c r="G17" s="1"/>
      <x:c r="H17" s="1"/>
    </x:row>
    <x:row r="18" ht="21" customHeight="1">
      <x:c r="A18" s="1" t="str">
        <x:v>Transfers, card repayments, mortgage splits and net rent require accounting review.</x:v>
      </x:c>
      <x:c r="B18" s="1"/>
      <x:c r="C18" s="1"/>
      <x:c r="D18" s="1"/>
      <x:c r="E18" s="1"/>
      <x:c r="F18" s="1"/>
      <x:c r="G18" s="1"/>
      <x:c r="H18" s="1"/>
    </x:row>
    <x:row r="19" ht="21" customHeight="1">
      <x:c r="A19" s="1" t="str">
        <x:v>A negative credit-card statement balance represents an amount owed.</x:v>
      </x:c>
      <x:c r="B19" s="1"/>
      <x:c r="C19" s="1"/>
      <x:c r="D19" s="1"/>
      <x:c r="E19" s="1"/>
      <x:c r="F19" s="1"/>
      <x:c r="G19" s="1"/>
      <x:c r="H19" s="1"/>
    </x:row>
    <x:row r="20" ht="21" customHeight="1">
      <x:c r="A20" s="1" t="str">
        <x:v>Mortgage rates are fictional; monthly interest model, not a lender quotation.</x:v>
      </x:c>
      <x:c r="B20" s="1"/>
      <x:c r="C20" s="1"/>
      <x:c r="D20" s="1"/>
      <x:c r="E20" s="1"/>
      <x:c r="F20" s="1"/>
      <x:c r="G20" s="1"/>
      <x:c r="H20" s="1"/>
    </x:row>
    <x:row r="21" ht="21" customHeight="1">
      <x:c r="A21" s="1" t="str">
        <x:v>Gross cash fixture totals are not a statutory profit-and-loss statement or BAS.</x:v>
      </x:c>
      <x:c r="B21" s="1"/>
      <x:c r="C21" s="1"/>
      <x:c r="D21" s="1"/>
      <x:c r="E21" s="1"/>
      <x:c r="F21" s="1"/>
      <x:c r="G21" s="1"/>
      <x:c r="H21" s="1"/>
    </x:row>
    <x:row r="22" ht="21" customHeight="1">
      <x:c r="A22" s="1" t="str">
        <x:v>Source data, expected results and detailed test steps are included in the pack README.</x:v>
      </x:c>
      <x:c r="B22" s="1"/>
      <x:c r="C22" s="1"/>
      <x:c r="D22" s="1"/>
      <x:c r="E22" s="1"/>
      <x:c r="F22" s="1"/>
      <x:c r="G22" s="1"/>
      <x:c r="H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2" t="str">
        <x:v>Home mortgage — illustrative schedule</x:v>
      </x:c>
      <x:c r="B2" s="2"/>
      <x:c r="C2" s="2"/>
      <x:c r="D2" s="2"/>
      <x:c r="E2" s="2"/>
      <x:c r="F2" s="2"/>
      <x:c r="G2" s="2"/>
      <x:c r="H2" s="2"/>
      <x:c r="I2" s="2"/>
    </x:row>
    <x:row r="3" ht="21" customHeight="1">
      <x:c r="A3" s="1" t="str">
        <x:v>SYNTHETIC | Monthly rate = annual rate / 12; rounded monthly interest; final payment adjusted.</x:v>
      </x:c>
      <x:c r="B3" s="1"/>
      <x:c r="C3" s="1"/>
      <x:c r="D3" s="1"/>
      <x:c r="E3" s="1"/>
      <x:c r="F3" s="1"/>
      <x:c r="G3" s="1"/>
      <x:c r="H3" s="1"/>
      <x:c r="I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1" customHeight="1">
      <x:c r="A5" s="1" t="str">
        <x:v>Principal AUD</x:v>
      </x:c>
      <x:c r="B5" s="7" t="n">
        <x:v>520000</x:v>
      </x:c>
      <x:c r="C5" s="1"/>
      <x:c r="D5" s="1" t="str">
        <x:v>First 3 rows: fixture quarter payments.</x:v>
      </x:c>
      <x:c r="E5" s="1"/>
      <x:c r="F5" s="1"/>
      <x:c r="G5" s="1"/>
      <x:c r="H5" s="1"/>
      <x:c r="I5" s="1"/>
    </x:row>
    <x:row r="6" ht="21" customHeight="1">
      <x:c r="A6" s="1" t="str">
        <x:v>Annual rate</x:v>
      </x:c>
      <x:c r="B6" s="8" t="n">
        <x:v>0.061</x:v>
      </x:c>
      <x:c r="C6" s="1"/>
      <x:c r="D6" s="1" t="str">
        <x:v>Later rows: illustrative projections.</x:v>
      </x:c>
      <x:c r="E6" s="1"/>
      <x:c r="F6" s="1"/>
      <x:c r="G6" s="1"/>
      <x:c r="H6" s="1"/>
      <x:c r="I6" s="1"/>
    </x:row>
    <x:row r="7" ht="21" customHeight="1">
      <x:c r="A7" s="1" t="str">
        <x:v>Term in months</x:v>
      </x:c>
      <x:c r="B7" s="1" t="n">
        <x:v>360</x:v>
      </x:c>
      <x:c r="C7" s="1"/>
      <x:c r="D7" s="1" t="str">
        <x:v>No offset, redraw, fees or daily-interest calculation.</x:v>
      </x:c>
      <x:c r="E7" s="1"/>
      <x:c r="F7" s="1"/>
      <x:c r="G7" s="1"/>
      <x:c r="H7" s="1"/>
      <x:c r="I7" s="1"/>
    </x:row>
    <x:row r="8" ht="21" customHeight="1">
      <x:c r="A8" s="1" t="str">
        <x:v>Monthly payment AUD</x:v>
      </x:c>
      <x:c r="B8" s="7" t="n">
        <x:f>ROUND(B5*(B6/12)/(1-(1+B6/12)^(-B7)),2)</x:f>
        <x:v>3151.17</x:v>
      </x:c>
      <x:c r="C8" s="1"/>
      <x:c r="D8" s="1"/>
      <x:c r="E8" s="1"/>
      <x:c r="F8" s="1"/>
      <x:c r="G8" s="1"/>
      <x:c r="H8" s="1"/>
      <x:c r="I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</x:row>
    <x:row r="11" ht="30" customHeight="1">
      <x:c r="A11" s="5" t="str">
        <x:v>Period</x:v>
      </x:c>
      <x:c r="B11" s="5" t="str">
        <x:v>Payment date</x:v>
      </x:c>
      <x:c r="C11" s="5" t="str">
        <x:v>Opening AUD</x:v>
      </x:c>
      <x:c r="D11" s="5" t="str">
        <x:v>Payment AUD</x:v>
      </x:c>
      <x:c r="E11" s="5" t="str">
        <x:v>Interest AUD</x:v>
      </x:c>
      <x:c r="F11" s="5" t="str">
        <x:v>Principal AUD</x:v>
      </x:c>
      <x:c r="G11" s="5" t="str">
        <x:v>Closing AUD</x:v>
      </x:c>
      <x:c r="H11" s="5" t="str">
        <x:v>Row check</x:v>
      </x:c>
      <x:c r="I11" s="5" t="str">
        <x:v>Status</x:v>
      </x:c>
    </x:row>
    <x:row r="12" ht="21" customHeight="1">
      <x:c r="A12" s="1" t="n">
        <x:v>1</x:v>
      </x:c>
      <x:c r="B12" s="6" t="n">
        <x:v>45869</x:v>
      </x:c>
      <x:c r="C12" s="7" t="n">
        <x:f>$B$5</x:f>
        <x:v>520000</x:v>
      </x:c>
      <x:c r="D12" s="7" t="n">
        <x:f>IF(A12=$B$7,ROUND(C12+E12,2),MIN($B$8,ROUND(C12+E12,2)))</x:f>
        <x:v>3151.17</x:v>
      </x:c>
      <x:c r="E12" s="7" t="n">
        <x:f>ROUND(C12*$B$6/12,2)</x:f>
        <x:v>2643.33</x:v>
      </x:c>
      <x:c r="F12" s="7" t="n">
        <x:f>ROUND(D12-E12,2)</x:f>
        <x:v>507.84</x:v>
      </x:c>
      <x:c r="G12" s="7" t="n">
        <x:f>ROUND(C12-F12,2)</x:f>
        <x:v>519492.16</x:v>
      </x:c>
      <x:c r="H12" s="7" t="n">
        <x:f>ROUND(D12-E12-F12,2)</x:f>
        <x:v>0</x:v>
      </x:c>
      <x:c r="I12" s="1" t="str">
        <x:v>Quarter actual</x:v>
      </x:c>
    </x:row>
    <x:row r="13" ht="21" customHeight="1">
      <x:c r="A13" s="1" t="n">
        <x:v>2</x:v>
      </x:c>
      <x:c r="B13" s="6" t="n">
        <x:v>45900</x:v>
      </x:c>
      <x:c r="C13" s="7" t="n">
        <x:f>G12</x:f>
        <x:v>519492.16</x:v>
      </x:c>
      <x:c r="D13" s="7" t="n">
        <x:f>IF(A13=$B$7,ROUND(C13+E13,2),MIN($B$8,ROUND(C13+E13,2)))</x:f>
        <x:v>3151.17</x:v>
      </x:c>
      <x:c r="E13" s="7" t="n">
        <x:f>ROUND(C13*$B$6/12,2)</x:f>
        <x:v>2640.75</x:v>
      </x:c>
      <x:c r="F13" s="7" t="n">
        <x:f>ROUND(D13-E13,2)</x:f>
        <x:v>510.42</x:v>
      </x:c>
      <x:c r="G13" s="7" t="n">
        <x:f>ROUND(C13-F13,2)</x:f>
        <x:v>518981.74</x:v>
      </x:c>
      <x:c r="H13" s="7" t="n">
        <x:f>ROUND(D13-E13-F13,2)</x:f>
        <x:v>0</x:v>
      </x:c>
      <x:c r="I13" s="1" t="str">
        <x:v>Quarter actual</x:v>
      </x:c>
    </x:row>
    <x:row r="14" ht="21" customHeight="1">
      <x:c r="A14" s="1" t="n">
        <x:v>3</x:v>
      </x:c>
      <x:c r="B14" s="6" t="n">
        <x:v>45930</x:v>
      </x:c>
      <x:c r="C14" s="7" t="n">
        <x:f>G13</x:f>
        <x:v>518981.74</x:v>
      </x:c>
      <x:c r="D14" s="7" t="n">
        <x:f>IF(A14=$B$7,ROUND(C14+E14,2),MIN($B$8,ROUND(C14+E14,2)))</x:f>
        <x:v>3151.17</x:v>
      </x:c>
      <x:c r="E14" s="7" t="n">
        <x:f>ROUND(C14*$B$6/12,2)</x:f>
        <x:v>2638.16</x:v>
      </x:c>
      <x:c r="F14" s="7" t="n">
        <x:f>ROUND(D14-E14,2)</x:f>
        <x:v>513.01</x:v>
      </x:c>
      <x:c r="G14" s="7" t="n">
        <x:f>ROUND(C14-F14,2)</x:f>
        <x:v>518468.73</x:v>
      </x:c>
      <x:c r="H14" s="7" t="n">
        <x:f>ROUND(D14-E14-F14,2)</x:f>
        <x:v>0</x:v>
      </x:c>
      <x:c r="I14" s="1" t="str">
        <x:v>Quarter actual</x:v>
      </x:c>
    </x:row>
    <x:row r="15" ht="21" customHeight="1">
      <x:c r="A15" s="1" t="n">
        <x:v>4</x:v>
      </x:c>
      <x:c r="B15" s="6" t="n">
        <x:v>45961</x:v>
      </x:c>
      <x:c r="C15" s="7" t="n">
        <x:f>G14</x:f>
        <x:v>518468.73</x:v>
      </x:c>
      <x:c r="D15" s="7" t="n">
        <x:f>IF(A15=$B$7,ROUND(C15+E15,2),MIN($B$8,ROUND(C15+E15,2)))</x:f>
        <x:v>3151.17</x:v>
      </x:c>
      <x:c r="E15" s="7" t="n">
        <x:f>ROUND(C15*$B$6/12,2)</x:f>
        <x:v>2635.55</x:v>
      </x:c>
      <x:c r="F15" s="7" t="n">
        <x:f>ROUND(D15-E15,2)</x:f>
        <x:v>515.62</x:v>
      </x:c>
      <x:c r="G15" s="7" t="n">
        <x:f>ROUND(C15-F15,2)</x:f>
        <x:v>517953.11</x:v>
      </x:c>
      <x:c r="H15" s="7" t="n">
        <x:f>ROUND(D15-E15-F15,2)</x:f>
        <x:v>0</x:v>
      </x:c>
      <x:c r="I15" s="1" t="str">
        <x:v>Projection</x:v>
      </x:c>
    </x:row>
    <x:row r="16" ht="21" customHeight="1">
      <x:c r="A16" s="1" t="n">
        <x:v>5</x:v>
      </x:c>
      <x:c r="B16" s="6" t="n">
        <x:v>45991</x:v>
      </x:c>
      <x:c r="C16" s="7" t="n">
        <x:f>G15</x:f>
        <x:v>517953.11</x:v>
      </x:c>
      <x:c r="D16" s="7" t="n">
        <x:f>IF(A16=$B$7,ROUND(C16+E16,2),MIN($B$8,ROUND(C16+E16,2)))</x:f>
        <x:v>3151.17</x:v>
      </x:c>
      <x:c r="E16" s="7" t="n">
        <x:f>ROUND(C16*$B$6/12,2)</x:f>
        <x:v>2632.93</x:v>
      </x:c>
      <x:c r="F16" s="7" t="n">
        <x:f>ROUND(D16-E16,2)</x:f>
        <x:v>518.24</x:v>
      </x:c>
      <x:c r="G16" s="7" t="n">
        <x:f>ROUND(C16-F16,2)</x:f>
        <x:v>517434.87</x:v>
      </x:c>
      <x:c r="H16" s="7" t="n">
        <x:f>ROUND(D16-E16-F16,2)</x:f>
        <x:v>0</x:v>
      </x:c>
      <x:c r="I16" s="1" t="str">
        <x:v>Projection</x:v>
      </x:c>
    </x:row>
    <x:row r="17" ht="21" customHeight="1">
      <x:c r="A17" s="1" t="n">
        <x:v>6</x:v>
      </x:c>
      <x:c r="B17" s="6" t="n">
        <x:v>46022</x:v>
      </x:c>
      <x:c r="C17" s="7" t="n">
        <x:f>G16</x:f>
        <x:v>517434.87</x:v>
      </x:c>
      <x:c r="D17" s="7" t="n">
        <x:f>IF(A17=$B$7,ROUND(C17+E17,2),MIN($B$8,ROUND(C17+E17,2)))</x:f>
        <x:v>3151.17</x:v>
      </x:c>
      <x:c r="E17" s="7" t="n">
        <x:f>ROUND(C17*$B$6/12,2)</x:f>
        <x:v>2630.29</x:v>
      </x:c>
      <x:c r="F17" s="7" t="n">
        <x:f>ROUND(D17-E17,2)</x:f>
        <x:v>520.88</x:v>
      </x:c>
      <x:c r="G17" s="7" t="n">
        <x:f>ROUND(C17-F17,2)</x:f>
        <x:v>516913.99</x:v>
      </x:c>
      <x:c r="H17" s="7" t="n">
        <x:f>ROUND(D17-E17-F17,2)</x:f>
        <x:v>0</x:v>
      </x:c>
      <x:c r="I17" s="1" t="str">
        <x:v>Projection</x:v>
      </x:c>
    </x:row>
    <x:row r="18" ht="21" customHeight="1">
      <x:c r="A18" s="1" t="n">
        <x:v>7</x:v>
      </x:c>
      <x:c r="B18" s="6" t="n">
        <x:v>46053</x:v>
      </x:c>
      <x:c r="C18" s="7" t="n">
        <x:f>G17</x:f>
        <x:v>516913.99</x:v>
      </x:c>
      <x:c r="D18" s="7" t="n">
        <x:f>IF(A18=$B$7,ROUND(C18+E18,2),MIN($B$8,ROUND(C18+E18,2)))</x:f>
        <x:v>3151.17</x:v>
      </x:c>
      <x:c r="E18" s="7" t="n">
        <x:f>ROUND(C18*$B$6/12,2)</x:f>
        <x:v>2627.65</x:v>
      </x:c>
      <x:c r="F18" s="7" t="n">
        <x:f>ROUND(D18-E18,2)</x:f>
        <x:v>523.52</x:v>
      </x:c>
      <x:c r="G18" s="7" t="n">
        <x:f>ROUND(C18-F18,2)</x:f>
        <x:v>516390.47</x:v>
      </x:c>
      <x:c r="H18" s="7" t="n">
        <x:f>ROUND(D18-E18-F18,2)</x:f>
        <x:v>0</x:v>
      </x:c>
      <x:c r="I18" s="1" t="str">
        <x:v>Projection</x:v>
      </x:c>
    </x:row>
    <x:row r="19" ht="21" customHeight="1">
      <x:c r="A19" s="1" t="n">
        <x:v>8</x:v>
      </x:c>
      <x:c r="B19" s="6" t="n">
        <x:v>46081</x:v>
      </x:c>
      <x:c r="C19" s="7" t="n">
        <x:f>G18</x:f>
        <x:v>516390.47</x:v>
      </x:c>
      <x:c r="D19" s="7" t="n">
        <x:f>IF(A19=$B$7,ROUND(C19+E19,2),MIN($B$8,ROUND(C19+E19,2)))</x:f>
        <x:v>3151.17</x:v>
      </x:c>
      <x:c r="E19" s="7" t="n">
        <x:f>ROUND(C19*$B$6/12,2)</x:f>
        <x:v>2624.98</x:v>
      </x:c>
      <x:c r="F19" s="7" t="n">
        <x:f>ROUND(D19-E19,2)</x:f>
        <x:v>526.19</x:v>
      </x:c>
      <x:c r="G19" s="7" t="n">
        <x:f>ROUND(C19-F19,2)</x:f>
        <x:v>515864.28</x:v>
      </x:c>
      <x:c r="H19" s="7" t="n">
        <x:f>ROUND(D19-E19-F19,2)</x:f>
        <x:v>0</x:v>
      </x:c>
      <x:c r="I19" s="1" t="str">
        <x:v>Projection</x:v>
      </x:c>
    </x:row>
    <x:row r="20" ht="21" customHeight="1">
      <x:c r="A20" s="1" t="n">
        <x:v>9</x:v>
      </x:c>
      <x:c r="B20" s="6" t="n">
        <x:v>46112</x:v>
      </x:c>
      <x:c r="C20" s="7" t="n">
        <x:f>G19</x:f>
        <x:v>515864.28</x:v>
      </x:c>
      <x:c r="D20" s="7" t="n">
        <x:f>IF(A20=$B$7,ROUND(C20+E20,2),MIN($B$8,ROUND(C20+E20,2)))</x:f>
        <x:v>3151.17</x:v>
      </x:c>
      <x:c r="E20" s="7" t="n">
        <x:f>ROUND(C20*$B$6/12,2)</x:f>
        <x:v>2622.31</x:v>
      </x:c>
      <x:c r="F20" s="7" t="n">
        <x:f>ROUND(D20-E20,2)</x:f>
        <x:v>528.86</x:v>
      </x:c>
      <x:c r="G20" s="7" t="n">
        <x:f>ROUND(C20-F20,2)</x:f>
        <x:v>515335.42</x:v>
      </x:c>
      <x:c r="H20" s="7" t="n">
        <x:f>ROUND(D20-E20-F20,2)</x:f>
        <x:v>0</x:v>
      </x:c>
      <x:c r="I20" s="1" t="str">
        <x:v>Projection</x:v>
      </x:c>
    </x:row>
    <x:row r="21" ht="21" customHeight="1">
      <x:c r="A21" s="1" t="n">
        <x:v>10</x:v>
      </x:c>
      <x:c r="B21" s="6" t="n">
        <x:v>46142</x:v>
      </x:c>
      <x:c r="C21" s="7" t="n">
        <x:f>G20</x:f>
        <x:v>515335.42</x:v>
      </x:c>
      <x:c r="D21" s="7" t="n">
        <x:f>IF(A21=$B$7,ROUND(C21+E21,2),MIN($B$8,ROUND(C21+E21,2)))</x:f>
        <x:v>3151.17</x:v>
      </x:c>
      <x:c r="E21" s="7" t="n">
        <x:f>ROUND(C21*$B$6/12,2)</x:f>
        <x:v>2619.62</x:v>
      </x:c>
      <x:c r="F21" s="7" t="n">
        <x:f>ROUND(D21-E21,2)</x:f>
        <x:v>531.55</x:v>
      </x:c>
      <x:c r="G21" s="7" t="n">
        <x:f>ROUND(C21-F21,2)</x:f>
        <x:v>514803.87</x:v>
      </x:c>
      <x:c r="H21" s="7" t="n">
        <x:f>ROUND(D21-E21-F21,2)</x:f>
        <x:v>0</x:v>
      </x:c>
      <x:c r="I21" s="1" t="str">
        <x:v>Projection</x:v>
      </x:c>
    </x:row>
    <x:row r="22" ht="21" customHeight="1">
      <x:c r="A22" s="1" t="n">
        <x:v>11</x:v>
      </x:c>
      <x:c r="B22" s="6" t="n">
        <x:v>46173</x:v>
      </x:c>
      <x:c r="C22" s="7" t="n">
        <x:f>G21</x:f>
        <x:v>514803.87</x:v>
      </x:c>
      <x:c r="D22" s="7" t="n">
        <x:f>IF(A22=$B$7,ROUND(C22+E22,2),MIN($B$8,ROUND(C22+E22,2)))</x:f>
        <x:v>3151.17</x:v>
      </x:c>
      <x:c r="E22" s="7" t="n">
        <x:f>ROUND(C22*$B$6/12,2)</x:f>
        <x:v>2616.92</x:v>
      </x:c>
      <x:c r="F22" s="7" t="n">
        <x:f>ROUND(D22-E22,2)</x:f>
        <x:v>534.25</x:v>
      </x:c>
      <x:c r="G22" s="7" t="n">
        <x:f>ROUND(C22-F22,2)</x:f>
        <x:v>514269.62</x:v>
      </x:c>
      <x:c r="H22" s="7" t="n">
        <x:f>ROUND(D22-E22-F22,2)</x:f>
        <x:v>0</x:v>
      </x:c>
      <x:c r="I22" s="1" t="str">
        <x:v>Projection</x:v>
      </x:c>
    </x:row>
    <x:row r="23" ht="21" customHeight="1">
      <x:c r="A23" s="1" t="n">
        <x:v>12</x:v>
      </x:c>
      <x:c r="B23" s="6" t="n">
        <x:v>46203</x:v>
      </x:c>
      <x:c r="C23" s="7" t="n">
        <x:f>G22</x:f>
        <x:v>514269.62</x:v>
      </x:c>
      <x:c r="D23" s="7" t="n">
        <x:f>IF(A23=$B$7,ROUND(C23+E23,2),MIN($B$8,ROUND(C23+E23,2)))</x:f>
        <x:v>3151.17</x:v>
      </x:c>
      <x:c r="E23" s="7" t="n">
        <x:f>ROUND(C23*$B$6/12,2)</x:f>
        <x:v>2614.2</x:v>
      </x:c>
      <x:c r="F23" s="7" t="n">
        <x:f>ROUND(D23-E23,2)</x:f>
        <x:v>536.97</x:v>
      </x:c>
      <x:c r="G23" s="7" t="n">
        <x:f>ROUND(C23-F23,2)</x:f>
        <x:v>513732.65</x:v>
      </x:c>
      <x:c r="H23" s="7" t="n">
        <x:f>ROUND(D23-E23-F23,2)</x:f>
        <x:v>0</x:v>
      </x:c>
      <x:c r="I23" s="1" t="str">
        <x:v>Projection</x:v>
      </x:c>
    </x:row>
    <x:row r="24" ht="21" customHeight="1">
      <x:c r="A24" s="1" t="n">
        <x:v>13</x:v>
      </x:c>
      <x:c r="B24" s="6" t="n">
        <x:v>46234</x:v>
      </x:c>
      <x:c r="C24" s="7" t="n">
        <x:f>G23</x:f>
        <x:v>513732.65</x:v>
      </x:c>
      <x:c r="D24" s="7" t="n">
        <x:f>IF(A24=$B$7,ROUND(C24+E24,2),MIN($B$8,ROUND(C24+E24,2)))</x:f>
        <x:v>3151.17</x:v>
      </x:c>
      <x:c r="E24" s="7" t="n">
        <x:f>ROUND(C24*$B$6/12,2)</x:f>
        <x:v>2611.47</x:v>
      </x:c>
      <x:c r="F24" s="7" t="n">
        <x:f>ROUND(D24-E24,2)</x:f>
        <x:v>539.7</x:v>
      </x:c>
      <x:c r="G24" s="7" t="n">
        <x:f>ROUND(C24-F24,2)</x:f>
        <x:v>513192.95</x:v>
      </x:c>
      <x:c r="H24" s="7" t="n">
        <x:f>ROUND(D24-E24-F24,2)</x:f>
        <x:v>0</x:v>
      </x:c>
      <x:c r="I24" s="1" t="str">
        <x:v>Projection</x:v>
      </x:c>
    </x:row>
    <x:row r="25" ht="21" customHeight="1">
      <x:c r="A25" s="1" t="n">
        <x:v>14</x:v>
      </x:c>
      <x:c r="B25" s="6" t="n">
        <x:v>46265</x:v>
      </x:c>
      <x:c r="C25" s="7" t="n">
        <x:f>G24</x:f>
        <x:v>513192.95</x:v>
      </x:c>
      <x:c r="D25" s="7" t="n">
        <x:f>IF(A25=$B$7,ROUND(C25+E25,2),MIN($B$8,ROUND(C25+E25,2)))</x:f>
        <x:v>3151.17</x:v>
      </x:c>
      <x:c r="E25" s="7" t="n">
        <x:f>ROUND(C25*$B$6/12,2)</x:f>
        <x:v>2608.73</x:v>
      </x:c>
      <x:c r="F25" s="7" t="n">
        <x:f>ROUND(D25-E25,2)</x:f>
        <x:v>542.44</x:v>
      </x:c>
      <x:c r="G25" s="7" t="n">
        <x:f>ROUND(C25-F25,2)</x:f>
        <x:v>512650.51</x:v>
      </x:c>
      <x:c r="H25" s="7" t="n">
        <x:f>ROUND(D25-E25-F25,2)</x:f>
        <x:v>0</x:v>
      </x:c>
      <x:c r="I25" s="1" t="str">
        <x:v>Projection</x:v>
      </x:c>
    </x:row>
    <x:row r="26" ht="21" customHeight="1">
      <x:c r="A26" s="1" t="n">
        <x:v>15</x:v>
      </x:c>
      <x:c r="B26" s="6" t="n">
        <x:v>46295</x:v>
      </x:c>
      <x:c r="C26" s="7" t="n">
        <x:f>G25</x:f>
        <x:v>512650.51</x:v>
      </x:c>
      <x:c r="D26" s="7" t="n">
        <x:f>IF(A26=$B$7,ROUND(C26+E26,2),MIN($B$8,ROUND(C26+E26,2)))</x:f>
        <x:v>3151.17</x:v>
      </x:c>
      <x:c r="E26" s="7" t="n">
        <x:f>ROUND(C26*$B$6/12,2)</x:f>
        <x:v>2605.97</x:v>
      </x:c>
      <x:c r="F26" s="7" t="n">
        <x:f>ROUND(D26-E26,2)</x:f>
        <x:v>545.2</x:v>
      </x:c>
      <x:c r="G26" s="7" t="n">
        <x:f>ROUND(C26-F26,2)</x:f>
        <x:v>512105.31</x:v>
      </x:c>
      <x:c r="H26" s="7" t="n">
        <x:f>ROUND(D26-E26-F26,2)</x:f>
        <x:v>0</x:v>
      </x:c>
      <x:c r="I26" s="1" t="str">
        <x:v>Projection</x:v>
      </x:c>
    </x:row>
    <x:row r="27" ht="21" customHeight="1">
      <x:c r="A27" s="1" t="n">
        <x:v>16</x:v>
      </x:c>
      <x:c r="B27" s="6" t="n">
        <x:v>46326</x:v>
      </x:c>
      <x:c r="C27" s="7" t="n">
        <x:f>G26</x:f>
        <x:v>512105.31</x:v>
      </x:c>
      <x:c r="D27" s="7" t="n">
        <x:f>IF(A27=$B$7,ROUND(C27+E27,2),MIN($B$8,ROUND(C27+E27,2)))</x:f>
        <x:v>3151.17</x:v>
      </x:c>
      <x:c r="E27" s="7" t="n">
        <x:f>ROUND(C27*$B$6/12,2)</x:f>
        <x:v>2603.2</x:v>
      </x:c>
      <x:c r="F27" s="7" t="n">
        <x:f>ROUND(D27-E27,2)</x:f>
        <x:v>547.97</x:v>
      </x:c>
      <x:c r="G27" s="7" t="n">
        <x:f>ROUND(C27-F27,2)</x:f>
        <x:v>511557.34</x:v>
      </x:c>
      <x:c r="H27" s="7" t="n">
        <x:f>ROUND(D27-E27-F27,2)</x:f>
        <x:v>0</x:v>
      </x:c>
      <x:c r="I27" s="1" t="str">
        <x:v>Projection</x:v>
      </x:c>
    </x:row>
    <x:row r="28" ht="21" customHeight="1">
      <x:c r="A28" s="1" t="n">
        <x:v>17</x:v>
      </x:c>
      <x:c r="B28" s="6" t="n">
        <x:v>46356</x:v>
      </x:c>
      <x:c r="C28" s="7" t="n">
        <x:f>G27</x:f>
        <x:v>511557.34</x:v>
      </x:c>
      <x:c r="D28" s="7" t="n">
        <x:f>IF(A28=$B$7,ROUND(C28+E28,2),MIN($B$8,ROUND(C28+E28,2)))</x:f>
        <x:v>3151.17</x:v>
      </x:c>
      <x:c r="E28" s="7" t="n">
        <x:f>ROUND(C28*$B$6/12,2)</x:f>
        <x:v>2600.42</x:v>
      </x:c>
      <x:c r="F28" s="7" t="n">
        <x:f>ROUND(D28-E28,2)</x:f>
        <x:v>550.75</x:v>
      </x:c>
      <x:c r="G28" s="7" t="n">
        <x:f>ROUND(C28-F28,2)</x:f>
        <x:v>511006.59</x:v>
      </x:c>
      <x:c r="H28" s="7" t="n">
        <x:f>ROUND(D28-E28-F28,2)</x:f>
        <x:v>0</x:v>
      </x:c>
      <x:c r="I28" s="1" t="str">
        <x:v>Projection</x:v>
      </x:c>
    </x:row>
    <x:row r="29" ht="21" customHeight="1">
      <x:c r="A29" s="1" t="n">
        <x:v>18</x:v>
      </x:c>
      <x:c r="B29" s="6" t="n">
        <x:v>46387</x:v>
      </x:c>
      <x:c r="C29" s="7" t="n">
        <x:f>G28</x:f>
        <x:v>511006.59</x:v>
      </x:c>
      <x:c r="D29" s="7" t="n">
        <x:f>IF(A29=$B$7,ROUND(C29+E29,2),MIN($B$8,ROUND(C29+E29,2)))</x:f>
        <x:v>3151.17</x:v>
      </x:c>
      <x:c r="E29" s="7" t="n">
        <x:f>ROUND(C29*$B$6/12,2)</x:f>
        <x:v>2597.62</x:v>
      </x:c>
      <x:c r="F29" s="7" t="n">
        <x:f>ROUND(D29-E29,2)</x:f>
        <x:v>553.55</x:v>
      </x:c>
      <x:c r="G29" s="7" t="n">
        <x:f>ROUND(C29-F29,2)</x:f>
        <x:v>510453.04</x:v>
      </x:c>
      <x:c r="H29" s="7" t="n">
        <x:f>ROUND(D29-E29-F29,2)</x:f>
        <x:v>0</x:v>
      </x:c>
      <x:c r="I29" s="1" t="str">
        <x:v>Projection</x:v>
      </x:c>
    </x:row>
    <x:row r="30" ht="21" customHeight="1">
      <x:c r="A30" s="1" t="n">
        <x:v>19</x:v>
      </x:c>
      <x:c r="B30" s="6" t="n">
        <x:v>46418</x:v>
      </x:c>
      <x:c r="C30" s="7" t="n">
        <x:f>G29</x:f>
        <x:v>510453.04</x:v>
      </x:c>
      <x:c r="D30" s="7" t="n">
        <x:f>IF(A30=$B$7,ROUND(C30+E30,2),MIN($B$8,ROUND(C30+E30,2)))</x:f>
        <x:v>3151.17</x:v>
      </x:c>
      <x:c r="E30" s="7" t="n">
        <x:f>ROUND(C30*$B$6/12,2)</x:f>
        <x:v>2594.8</x:v>
      </x:c>
      <x:c r="F30" s="7" t="n">
        <x:f>ROUND(D30-E30,2)</x:f>
        <x:v>556.37</x:v>
      </x:c>
      <x:c r="G30" s="7" t="n">
        <x:f>ROUND(C30-F30,2)</x:f>
        <x:v>509896.67</x:v>
      </x:c>
      <x:c r="H30" s="7" t="n">
        <x:f>ROUND(D30-E30-F30,2)</x:f>
        <x:v>0</x:v>
      </x:c>
      <x:c r="I30" s="1" t="str">
        <x:v>Projection</x:v>
      </x:c>
    </x:row>
    <x:row r="31" ht="21" customHeight="1">
      <x:c r="A31" s="1" t="n">
        <x:v>20</x:v>
      </x:c>
      <x:c r="B31" s="6" t="n">
        <x:v>46446</x:v>
      </x:c>
      <x:c r="C31" s="7" t="n">
        <x:f>G30</x:f>
        <x:v>509896.67</x:v>
      </x:c>
      <x:c r="D31" s="7" t="n">
        <x:f>IF(A31=$B$7,ROUND(C31+E31,2),MIN($B$8,ROUND(C31+E31,2)))</x:f>
        <x:v>3151.17</x:v>
      </x:c>
      <x:c r="E31" s="7" t="n">
        <x:f>ROUND(C31*$B$6/12,2)</x:f>
        <x:v>2591.97</x:v>
      </x:c>
      <x:c r="F31" s="7" t="n">
        <x:f>ROUND(D31-E31,2)</x:f>
        <x:v>559.2</x:v>
      </x:c>
      <x:c r="G31" s="7" t="n">
        <x:f>ROUND(C31-F31,2)</x:f>
        <x:v>509337.47</x:v>
      </x:c>
      <x:c r="H31" s="7" t="n">
        <x:f>ROUND(D31-E31-F31,2)</x:f>
        <x:v>0</x:v>
      </x:c>
      <x:c r="I31" s="1" t="str">
        <x:v>Projection</x:v>
      </x:c>
    </x:row>
    <x:row r="32" ht="21" customHeight="1">
      <x:c r="A32" s="1" t="n">
        <x:v>21</x:v>
      </x:c>
      <x:c r="B32" s="6" t="n">
        <x:v>46477</x:v>
      </x:c>
      <x:c r="C32" s="7" t="n">
        <x:f>G31</x:f>
        <x:v>509337.47</x:v>
      </x:c>
      <x:c r="D32" s="7" t="n">
        <x:f>IF(A32=$B$7,ROUND(C32+E32,2),MIN($B$8,ROUND(C32+E32,2)))</x:f>
        <x:v>3151.17</x:v>
      </x:c>
      <x:c r="E32" s="7" t="n">
        <x:f>ROUND(C32*$B$6/12,2)</x:f>
        <x:v>2589.13</x:v>
      </x:c>
      <x:c r="F32" s="7" t="n">
        <x:f>ROUND(D32-E32,2)</x:f>
        <x:v>562.04</x:v>
      </x:c>
      <x:c r="G32" s="7" t="n">
        <x:f>ROUND(C32-F32,2)</x:f>
        <x:v>508775.43</x:v>
      </x:c>
      <x:c r="H32" s="7" t="n">
        <x:f>ROUND(D32-E32-F32,2)</x:f>
        <x:v>0</x:v>
      </x:c>
      <x:c r="I32" s="1" t="str">
        <x:v>Projection</x:v>
      </x:c>
    </x:row>
    <x:row r="33" ht="21" customHeight="1">
      <x:c r="A33" s="1" t="n">
        <x:v>22</x:v>
      </x:c>
      <x:c r="B33" s="6" t="n">
        <x:v>46507</x:v>
      </x:c>
      <x:c r="C33" s="7" t="n">
        <x:f>G32</x:f>
        <x:v>508775.43</x:v>
      </x:c>
      <x:c r="D33" s="7" t="n">
        <x:f>IF(A33=$B$7,ROUND(C33+E33,2),MIN($B$8,ROUND(C33+E33,2)))</x:f>
        <x:v>3151.17</x:v>
      </x:c>
      <x:c r="E33" s="7" t="n">
        <x:f>ROUND(C33*$B$6/12,2)</x:f>
        <x:v>2586.28</x:v>
      </x:c>
      <x:c r="F33" s="7" t="n">
        <x:f>ROUND(D33-E33,2)</x:f>
        <x:v>564.89</x:v>
      </x:c>
      <x:c r="G33" s="7" t="n">
        <x:f>ROUND(C33-F33,2)</x:f>
        <x:v>508210.54</x:v>
      </x:c>
      <x:c r="H33" s="7" t="n">
        <x:f>ROUND(D33-E33-F33,2)</x:f>
        <x:v>0</x:v>
      </x:c>
      <x:c r="I33" s="1" t="str">
        <x:v>Projection</x:v>
      </x:c>
    </x:row>
    <x:row r="34" ht="21" customHeight="1">
      <x:c r="A34" s="1" t="n">
        <x:v>23</x:v>
      </x:c>
      <x:c r="B34" s="6" t="n">
        <x:v>46538</x:v>
      </x:c>
      <x:c r="C34" s="7" t="n">
        <x:f>G33</x:f>
        <x:v>508210.54</x:v>
      </x:c>
      <x:c r="D34" s="7" t="n">
        <x:f>IF(A34=$B$7,ROUND(C34+E34,2),MIN($B$8,ROUND(C34+E34,2)))</x:f>
        <x:v>3151.17</x:v>
      </x:c>
      <x:c r="E34" s="7" t="n">
        <x:f>ROUND(C34*$B$6/12,2)</x:f>
        <x:v>2583.4</x:v>
      </x:c>
      <x:c r="F34" s="7" t="n">
        <x:f>ROUND(D34-E34,2)</x:f>
        <x:v>567.77</x:v>
      </x:c>
      <x:c r="G34" s="7" t="n">
        <x:f>ROUND(C34-F34,2)</x:f>
        <x:v>507642.77</x:v>
      </x:c>
      <x:c r="H34" s="7" t="n">
        <x:f>ROUND(D34-E34-F34,2)</x:f>
        <x:v>0</x:v>
      </x:c>
      <x:c r="I34" s="1" t="str">
        <x:v>Projection</x:v>
      </x:c>
    </x:row>
    <x:row r="35" ht="21" customHeight="1">
      <x:c r="A35" s="1" t="n">
        <x:v>24</x:v>
      </x:c>
      <x:c r="B35" s="6" t="n">
        <x:v>46568</x:v>
      </x:c>
      <x:c r="C35" s="7" t="n">
        <x:f>G34</x:f>
        <x:v>507642.77</x:v>
      </x:c>
      <x:c r="D35" s="7" t="n">
        <x:f>IF(A35=$B$7,ROUND(C35+E35,2),MIN($B$8,ROUND(C35+E35,2)))</x:f>
        <x:v>3151.17</x:v>
      </x:c>
      <x:c r="E35" s="7" t="n">
        <x:f>ROUND(C35*$B$6/12,2)</x:f>
        <x:v>2580.52</x:v>
      </x:c>
      <x:c r="F35" s="7" t="n">
        <x:f>ROUND(D35-E35,2)</x:f>
        <x:v>570.65</x:v>
      </x:c>
      <x:c r="G35" s="7" t="n">
        <x:f>ROUND(C35-F35,2)</x:f>
        <x:v>507072.12</x:v>
      </x:c>
      <x:c r="H35" s="7" t="n">
        <x:f>ROUND(D35-E35-F35,2)</x:f>
        <x:v>0</x:v>
      </x:c>
      <x:c r="I35" s="1" t="str">
        <x:v>Projection</x:v>
      </x:c>
    </x:row>
    <x:row r="36" ht="21" customHeight="1">
      <x:c r="A36" s="1" t="n">
        <x:v>25</x:v>
      </x:c>
      <x:c r="B36" s="6" t="n">
        <x:v>46599</x:v>
      </x:c>
      <x:c r="C36" s="7" t="n">
        <x:f>G35</x:f>
        <x:v>507072.12</x:v>
      </x:c>
      <x:c r="D36" s="7" t="n">
        <x:f>IF(A36=$B$7,ROUND(C36+E36,2),MIN($B$8,ROUND(C36+E36,2)))</x:f>
        <x:v>3151.17</x:v>
      </x:c>
      <x:c r="E36" s="7" t="n">
        <x:f>ROUND(C36*$B$6/12,2)</x:f>
        <x:v>2577.62</x:v>
      </x:c>
      <x:c r="F36" s="7" t="n">
        <x:f>ROUND(D36-E36,2)</x:f>
        <x:v>573.55</x:v>
      </x:c>
      <x:c r="G36" s="7" t="n">
        <x:f>ROUND(C36-F36,2)</x:f>
        <x:v>506498.57</x:v>
      </x:c>
      <x:c r="H36" s="7" t="n">
        <x:f>ROUND(D36-E36-F36,2)</x:f>
        <x:v>0</x:v>
      </x:c>
      <x:c r="I36" s="1" t="str">
        <x:v>Projection</x:v>
      </x:c>
    </x:row>
    <x:row r="37" ht="21" customHeight="1">
      <x:c r="A37" s="1" t="n">
        <x:v>26</x:v>
      </x:c>
      <x:c r="B37" s="6" t="n">
        <x:v>46630</x:v>
      </x:c>
      <x:c r="C37" s="7" t="n">
        <x:f>G36</x:f>
        <x:v>506498.57</x:v>
      </x:c>
      <x:c r="D37" s="7" t="n">
        <x:f>IF(A37=$B$7,ROUND(C37+E37,2),MIN($B$8,ROUND(C37+E37,2)))</x:f>
        <x:v>3151.17</x:v>
      </x:c>
      <x:c r="E37" s="7" t="n">
        <x:f>ROUND(C37*$B$6/12,2)</x:f>
        <x:v>2574.7</x:v>
      </x:c>
      <x:c r="F37" s="7" t="n">
        <x:f>ROUND(D37-E37,2)</x:f>
        <x:v>576.47</x:v>
      </x:c>
      <x:c r="G37" s="7" t="n">
        <x:f>ROUND(C37-F37,2)</x:f>
        <x:v>505922.1</x:v>
      </x:c>
      <x:c r="H37" s="7" t="n">
        <x:f>ROUND(D37-E37-F37,2)</x:f>
        <x:v>0</x:v>
      </x:c>
      <x:c r="I37" s="1" t="str">
        <x:v>Projection</x:v>
      </x:c>
    </x:row>
    <x:row r="38" ht="21" customHeight="1">
      <x:c r="A38" s="1" t="n">
        <x:v>27</x:v>
      </x:c>
      <x:c r="B38" s="6" t="n">
        <x:v>46660</x:v>
      </x:c>
      <x:c r="C38" s="7" t="n">
        <x:f>G37</x:f>
        <x:v>505922.1</x:v>
      </x:c>
      <x:c r="D38" s="7" t="n">
        <x:f>IF(A38=$B$7,ROUND(C38+E38,2),MIN($B$8,ROUND(C38+E38,2)))</x:f>
        <x:v>3151.17</x:v>
      </x:c>
      <x:c r="E38" s="7" t="n">
        <x:f>ROUND(C38*$B$6/12,2)</x:f>
        <x:v>2571.77</x:v>
      </x:c>
      <x:c r="F38" s="7" t="n">
        <x:f>ROUND(D38-E38,2)</x:f>
        <x:v>579.4</x:v>
      </x:c>
      <x:c r="G38" s="7" t="n">
        <x:f>ROUND(C38-F38,2)</x:f>
        <x:v>505342.7</x:v>
      </x:c>
      <x:c r="H38" s="7" t="n">
        <x:f>ROUND(D38-E38-F38,2)</x:f>
        <x:v>0</x:v>
      </x:c>
      <x:c r="I38" s="1" t="str">
        <x:v>Projection</x:v>
      </x:c>
    </x:row>
    <x:row r="39" ht="21" customHeight="1">
      <x:c r="A39" s="1" t="n">
        <x:v>28</x:v>
      </x:c>
      <x:c r="B39" s="6" t="n">
        <x:v>46691</x:v>
      </x:c>
      <x:c r="C39" s="7" t="n">
        <x:f>G38</x:f>
        <x:v>505342.7</x:v>
      </x:c>
      <x:c r="D39" s="7" t="n">
        <x:f>IF(A39=$B$7,ROUND(C39+E39,2),MIN($B$8,ROUND(C39+E39,2)))</x:f>
        <x:v>3151.17</x:v>
      </x:c>
      <x:c r="E39" s="7" t="n">
        <x:f>ROUND(C39*$B$6/12,2)</x:f>
        <x:v>2568.83</x:v>
      </x:c>
      <x:c r="F39" s="7" t="n">
        <x:f>ROUND(D39-E39,2)</x:f>
        <x:v>582.34</x:v>
      </x:c>
      <x:c r="G39" s="7" t="n">
        <x:f>ROUND(C39-F39,2)</x:f>
        <x:v>504760.36</x:v>
      </x:c>
      <x:c r="H39" s="7" t="n">
        <x:f>ROUND(D39-E39-F39,2)</x:f>
        <x:v>0</x:v>
      </x:c>
      <x:c r="I39" s="1" t="str">
        <x:v>Projection</x:v>
      </x:c>
    </x:row>
    <x:row r="40" ht="21" customHeight="1">
      <x:c r="A40" s="1" t="n">
        <x:v>29</x:v>
      </x:c>
      <x:c r="B40" s="6" t="n">
        <x:v>46721</x:v>
      </x:c>
      <x:c r="C40" s="7" t="n">
        <x:f>G39</x:f>
        <x:v>504760.36</x:v>
      </x:c>
      <x:c r="D40" s="7" t="n">
        <x:f>IF(A40=$B$7,ROUND(C40+E40,2),MIN($B$8,ROUND(C40+E40,2)))</x:f>
        <x:v>3151.17</x:v>
      </x:c>
      <x:c r="E40" s="7" t="n">
        <x:f>ROUND(C40*$B$6/12,2)</x:f>
        <x:v>2565.87</x:v>
      </x:c>
      <x:c r="F40" s="7" t="n">
        <x:f>ROUND(D40-E40,2)</x:f>
        <x:v>585.3</x:v>
      </x:c>
      <x:c r="G40" s="7" t="n">
        <x:f>ROUND(C40-F40,2)</x:f>
        <x:v>504175.06</x:v>
      </x:c>
      <x:c r="H40" s="7" t="n">
        <x:f>ROUND(D40-E40-F40,2)</x:f>
        <x:v>0</x:v>
      </x:c>
      <x:c r="I40" s="1" t="str">
        <x:v>Projection</x:v>
      </x:c>
    </x:row>
    <x:row r="41" ht="21" customHeight="1">
      <x:c r="A41" s="1" t="n">
        <x:v>30</x:v>
      </x:c>
      <x:c r="B41" s="6" t="n">
        <x:v>46752</x:v>
      </x:c>
      <x:c r="C41" s="7" t="n">
        <x:f>G40</x:f>
        <x:v>504175.06</x:v>
      </x:c>
      <x:c r="D41" s="7" t="n">
        <x:f>IF(A41=$B$7,ROUND(C41+E41,2),MIN($B$8,ROUND(C41+E41,2)))</x:f>
        <x:v>3151.17</x:v>
      </x:c>
      <x:c r="E41" s="7" t="n">
        <x:f>ROUND(C41*$B$6/12,2)</x:f>
        <x:v>2562.89</x:v>
      </x:c>
      <x:c r="F41" s="7" t="n">
        <x:f>ROUND(D41-E41,2)</x:f>
        <x:v>588.28</x:v>
      </x:c>
      <x:c r="G41" s="7" t="n">
        <x:f>ROUND(C41-F41,2)</x:f>
        <x:v>503586.78</x:v>
      </x:c>
      <x:c r="H41" s="7" t="n">
        <x:f>ROUND(D41-E41-F41,2)</x:f>
        <x:v>0</x:v>
      </x:c>
      <x:c r="I41" s="1" t="str">
        <x:v>Projection</x:v>
      </x:c>
    </x:row>
    <x:row r="42" ht="21" customHeight="1">
      <x:c r="A42" s="1" t="n">
        <x:v>31</x:v>
      </x:c>
      <x:c r="B42" s="6" t="n">
        <x:v>46783</x:v>
      </x:c>
      <x:c r="C42" s="7" t="n">
        <x:f>G41</x:f>
        <x:v>503586.78</x:v>
      </x:c>
      <x:c r="D42" s="7" t="n">
        <x:f>IF(A42=$B$7,ROUND(C42+E42,2),MIN($B$8,ROUND(C42+E42,2)))</x:f>
        <x:v>3151.17</x:v>
      </x:c>
      <x:c r="E42" s="7" t="n">
        <x:f>ROUND(C42*$B$6/12,2)</x:f>
        <x:v>2559.9</x:v>
      </x:c>
      <x:c r="F42" s="7" t="n">
        <x:f>ROUND(D42-E42,2)</x:f>
        <x:v>591.27</x:v>
      </x:c>
      <x:c r="G42" s="7" t="n">
        <x:f>ROUND(C42-F42,2)</x:f>
        <x:v>502995.51</x:v>
      </x:c>
      <x:c r="H42" s="7" t="n">
        <x:f>ROUND(D42-E42-F42,2)</x:f>
        <x:v>0</x:v>
      </x:c>
      <x:c r="I42" s="1" t="str">
        <x:v>Projection</x:v>
      </x:c>
    </x:row>
    <x:row r="43" ht="21" customHeight="1">
      <x:c r="A43" s="1" t="n">
        <x:v>32</x:v>
      </x:c>
      <x:c r="B43" s="6" t="n">
        <x:v>46812</x:v>
      </x:c>
      <x:c r="C43" s="7" t="n">
        <x:f>G42</x:f>
        <x:v>502995.51</x:v>
      </x:c>
      <x:c r="D43" s="7" t="n">
        <x:f>IF(A43=$B$7,ROUND(C43+E43,2),MIN($B$8,ROUND(C43+E43,2)))</x:f>
        <x:v>3151.17</x:v>
      </x:c>
      <x:c r="E43" s="7" t="n">
        <x:f>ROUND(C43*$B$6/12,2)</x:f>
        <x:v>2556.89</x:v>
      </x:c>
      <x:c r="F43" s="7" t="n">
        <x:f>ROUND(D43-E43,2)</x:f>
        <x:v>594.28</x:v>
      </x:c>
      <x:c r="G43" s="7" t="n">
        <x:f>ROUND(C43-F43,2)</x:f>
        <x:v>502401.23</x:v>
      </x:c>
      <x:c r="H43" s="7" t="n">
        <x:f>ROUND(D43-E43-F43,2)</x:f>
        <x:v>0</x:v>
      </x:c>
      <x:c r="I43" s="1" t="str">
        <x:v>Projection</x:v>
      </x:c>
    </x:row>
    <x:row r="44" ht="21" customHeight="1">
      <x:c r="A44" s="1" t="n">
        <x:v>33</x:v>
      </x:c>
      <x:c r="B44" s="6" t="n">
        <x:v>46843</x:v>
      </x:c>
      <x:c r="C44" s="7" t="n">
        <x:f>G43</x:f>
        <x:v>502401.23</x:v>
      </x:c>
      <x:c r="D44" s="7" t="n">
        <x:f>IF(A44=$B$7,ROUND(C44+E44,2),MIN($B$8,ROUND(C44+E44,2)))</x:f>
        <x:v>3151.17</x:v>
      </x:c>
      <x:c r="E44" s="7" t="n">
        <x:f>ROUND(C44*$B$6/12,2)</x:f>
        <x:v>2553.87</x:v>
      </x:c>
      <x:c r="F44" s="7" t="n">
        <x:f>ROUND(D44-E44,2)</x:f>
        <x:v>597.3</x:v>
      </x:c>
      <x:c r="G44" s="7" t="n">
        <x:f>ROUND(C44-F44,2)</x:f>
        <x:v>501803.93</x:v>
      </x:c>
      <x:c r="H44" s="7" t="n">
        <x:f>ROUND(D44-E44-F44,2)</x:f>
        <x:v>0</x:v>
      </x:c>
      <x:c r="I44" s="1" t="str">
        <x:v>Projection</x:v>
      </x:c>
    </x:row>
    <x:row r="45" ht="21" customHeight="1">
      <x:c r="A45" s="1" t="n">
        <x:v>34</x:v>
      </x:c>
      <x:c r="B45" s="6" t="n">
        <x:v>46873</x:v>
      </x:c>
      <x:c r="C45" s="7" t="n">
        <x:f>G44</x:f>
        <x:v>501803.93</x:v>
      </x:c>
      <x:c r="D45" s="7" t="n">
        <x:f>IF(A45=$B$7,ROUND(C45+E45,2),MIN($B$8,ROUND(C45+E45,2)))</x:f>
        <x:v>3151.17</x:v>
      </x:c>
      <x:c r="E45" s="7" t="n">
        <x:f>ROUND(C45*$B$6/12,2)</x:f>
        <x:v>2550.84</x:v>
      </x:c>
      <x:c r="F45" s="7" t="n">
        <x:f>ROUND(D45-E45,2)</x:f>
        <x:v>600.33</x:v>
      </x:c>
      <x:c r="G45" s="7" t="n">
        <x:f>ROUND(C45-F45,2)</x:f>
        <x:v>501203.6</x:v>
      </x:c>
      <x:c r="H45" s="7" t="n">
        <x:f>ROUND(D45-E45-F45,2)</x:f>
        <x:v>0</x:v>
      </x:c>
      <x:c r="I45" s="1" t="str">
        <x:v>Projection</x:v>
      </x:c>
    </x:row>
    <x:row r="46" ht="21" customHeight="1">
      <x:c r="A46" s="1" t="n">
        <x:v>35</x:v>
      </x:c>
      <x:c r="B46" s="6" t="n">
        <x:v>46904</x:v>
      </x:c>
      <x:c r="C46" s="7" t="n">
        <x:f>G45</x:f>
        <x:v>501203.6</x:v>
      </x:c>
      <x:c r="D46" s="7" t="n">
        <x:f>IF(A46=$B$7,ROUND(C46+E46,2),MIN($B$8,ROUND(C46+E46,2)))</x:f>
        <x:v>3151.17</x:v>
      </x:c>
      <x:c r="E46" s="7" t="n">
        <x:f>ROUND(C46*$B$6/12,2)</x:f>
        <x:v>2547.78</x:v>
      </x:c>
      <x:c r="F46" s="7" t="n">
        <x:f>ROUND(D46-E46,2)</x:f>
        <x:v>603.39</x:v>
      </x:c>
      <x:c r="G46" s="7" t="n">
        <x:f>ROUND(C46-F46,2)</x:f>
        <x:v>500600.21</x:v>
      </x:c>
      <x:c r="H46" s="7" t="n">
        <x:f>ROUND(D46-E46-F46,2)</x:f>
        <x:v>0</x:v>
      </x:c>
      <x:c r="I46" s="1" t="str">
        <x:v>Projection</x:v>
      </x:c>
    </x:row>
    <x:row r="47" ht="21" customHeight="1">
      <x:c r="A47" s="1" t="n">
        <x:v>36</x:v>
      </x:c>
      <x:c r="B47" s="6" t="n">
        <x:v>46934</x:v>
      </x:c>
      <x:c r="C47" s="7" t="n">
        <x:f>G46</x:f>
        <x:v>500600.21</x:v>
      </x:c>
      <x:c r="D47" s="7" t="n">
        <x:f>IF(A47=$B$7,ROUND(C47+E47,2),MIN($B$8,ROUND(C47+E47,2)))</x:f>
        <x:v>3151.17</x:v>
      </x:c>
      <x:c r="E47" s="7" t="n">
        <x:f>ROUND(C47*$B$6/12,2)</x:f>
        <x:v>2544.72</x:v>
      </x:c>
      <x:c r="F47" s="7" t="n">
        <x:f>ROUND(D47-E47,2)</x:f>
        <x:v>606.45</x:v>
      </x:c>
      <x:c r="G47" s="7" t="n">
        <x:f>ROUND(C47-F47,2)</x:f>
        <x:v>499993.76</x:v>
      </x:c>
      <x:c r="H47" s="7" t="n">
        <x:f>ROUND(D47-E47-F47,2)</x:f>
        <x:v>0</x:v>
      </x:c>
      <x:c r="I47" s="1" t="str">
        <x:v>Projection</x:v>
      </x:c>
    </x:row>
    <x:row r="48" ht="21" customHeight="1">
      <x:c r="A48" s="1" t="n">
        <x:v>37</x:v>
      </x:c>
      <x:c r="B48" s="6" t="n">
        <x:v>46965</x:v>
      </x:c>
      <x:c r="C48" s="7" t="n">
        <x:f>G47</x:f>
        <x:v>499993.76</x:v>
      </x:c>
      <x:c r="D48" s="7" t="n">
        <x:f>IF(A48=$B$7,ROUND(C48+E48,2),MIN($B$8,ROUND(C48+E48,2)))</x:f>
        <x:v>3151.17</x:v>
      </x:c>
      <x:c r="E48" s="7" t="n">
        <x:f>ROUND(C48*$B$6/12,2)</x:f>
        <x:v>2541.63</x:v>
      </x:c>
      <x:c r="F48" s="7" t="n">
        <x:f>ROUND(D48-E48,2)</x:f>
        <x:v>609.54</x:v>
      </x:c>
      <x:c r="G48" s="7" t="n">
        <x:f>ROUND(C48-F48,2)</x:f>
        <x:v>499384.22</x:v>
      </x:c>
      <x:c r="H48" s="7" t="n">
        <x:f>ROUND(D48-E48-F48,2)</x:f>
        <x:v>0</x:v>
      </x:c>
      <x:c r="I48" s="1" t="str">
        <x:v>Projection</x:v>
      </x:c>
    </x:row>
    <x:row r="49" ht="21" customHeight="1">
      <x:c r="A49" s="1" t="n">
        <x:v>38</x:v>
      </x:c>
      <x:c r="B49" s="6" t="n">
        <x:v>46996</x:v>
      </x:c>
      <x:c r="C49" s="7" t="n">
        <x:f>G48</x:f>
        <x:v>499384.22</x:v>
      </x:c>
      <x:c r="D49" s="7" t="n">
        <x:f>IF(A49=$B$7,ROUND(C49+E49,2),MIN($B$8,ROUND(C49+E49,2)))</x:f>
        <x:v>3151.17</x:v>
      </x:c>
      <x:c r="E49" s="7" t="n">
        <x:f>ROUND(C49*$B$6/12,2)</x:f>
        <x:v>2538.54</x:v>
      </x:c>
      <x:c r="F49" s="7" t="n">
        <x:f>ROUND(D49-E49,2)</x:f>
        <x:v>612.63</x:v>
      </x:c>
      <x:c r="G49" s="7" t="n">
        <x:f>ROUND(C49-F49,2)</x:f>
        <x:v>498771.59</x:v>
      </x:c>
      <x:c r="H49" s="7" t="n">
        <x:f>ROUND(D49-E49-F49,2)</x:f>
        <x:v>0</x:v>
      </x:c>
      <x:c r="I49" s="1" t="str">
        <x:v>Projection</x:v>
      </x:c>
    </x:row>
    <x:row r="50" ht="21" customHeight="1">
      <x:c r="A50" s="1" t="n">
        <x:v>39</x:v>
      </x:c>
      <x:c r="B50" s="6" t="n">
        <x:v>47026</x:v>
      </x:c>
      <x:c r="C50" s="7" t="n">
        <x:f>G49</x:f>
        <x:v>498771.59</x:v>
      </x:c>
      <x:c r="D50" s="7" t="n">
        <x:f>IF(A50=$B$7,ROUND(C50+E50,2),MIN($B$8,ROUND(C50+E50,2)))</x:f>
        <x:v>3151.17</x:v>
      </x:c>
      <x:c r="E50" s="7" t="n">
        <x:f>ROUND(C50*$B$6/12,2)</x:f>
        <x:v>2535.42</x:v>
      </x:c>
      <x:c r="F50" s="7" t="n">
        <x:f>ROUND(D50-E50,2)</x:f>
        <x:v>615.75</x:v>
      </x:c>
      <x:c r="G50" s="7" t="n">
        <x:f>ROUND(C50-F50,2)</x:f>
        <x:v>498155.84</x:v>
      </x:c>
      <x:c r="H50" s="7" t="n">
        <x:f>ROUND(D50-E50-F50,2)</x:f>
        <x:v>0</x:v>
      </x:c>
      <x:c r="I50" s="1" t="str">
        <x:v>Projection</x:v>
      </x:c>
    </x:row>
    <x:row r="51" ht="21" customHeight="1">
      <x:c r="A51" s="1" t="n">
        <x:v>40</x:v>
      </x:c>
      <x:c r="B51" s="6" t="n">
        <x:v>47057</x:v>
      </x:c>
      <x:c r="C51" s="7" t="n">
        <x:f>G50</x:f>
        <x:v>498155.84</x:v>
      </x:c>
      <x:c r="D51" s="7" t="n">
        <x:f>IF(A51=$B$7,ROUND(C51+E51,2),MIN($B$8,ROUND(C51+E51,2)))</x:f>
        <x:v>3151.17</x:v>
      </x:c>
      <x:c r="E51" s="7" t="n">
        <x:f>ROUND(C51*$B$6/12,2)</x:f>
        <x:v>2532.29</x:v>
      </x:c>
      <x:c r="F51" s="7" t="n">
        <x:f>ROUND(D51-E51,2)</x:f>
        <x:v>618.88</x:v>
      </x:c>
      <x:c r="G51" s="7" t="n">
        <x:f>ROUND(C51-F51,2)</x:f>
        <x:v>497536.96</x:v>
      </x:c>
      <x:c r="H51" s="7" t="n">
        <x:f>ROUND(D51-E51-F51,2)</x:f>
        <x:v>0</x:v>
      </x:c>
      <x:c r="I51" s="1" t="str">
        <x:v>Projection</x:v>
      </x:c>
    </x:row>
    <x:row r="52" ht="21" customHeight="1">
      <x:c r="A52" s="1" t="n">
        <x:v>41</x:v>
      </x:c>
      <x:c r="B52" s="6" t="n">
        <x:v>47087</x:v>
      </x:c>
      <x:c r="C52" s="7" t="n">
        <x:f>G51</x:f>
        <x:v>497536.96</x:v>
      </x:c>
      <x:c r="D52" s="7" t="n">
        <x:f>IF(A52=$B$7,ROUND(C52+E52,2),MIN($B$8,ROUND(C52+E52,2)))</x:f>
        <x:v>3151.17</x:v>
      </x:c>
      <x:c r="E52" s="7" t="n">
        <x:f>ROUND(C52*$B$6/12,2)</x:f>
        <x:v>2529.15</x:v>
      </x:c>
      <x:c r="F52" s="7" t="n">
        <x:f>ROUND(D52-E52,2)</x:f>
        <x:v>622.02</x:v>
      </x:c>
      <x:c r="G52" s="7" t="n">
        <x:f>ROUND(C52-F52,2)</x:f>
        <x:v>496914.94</x:v>
      </x:c>
      <x:c r="H52" s="7" t="n">
        <x:f>ROUND(D52-E52-F52,2)</x:f>
        <x:v>0</x:v>
      </x:c>
      <x:c r="I52" s="1" t="str">
        <x:v>Projection</x:v>
      </x:c>
    </x:row>
    <x:row r="53" ht="21" customHeight="1">
      <x:c r="A53" s="1" t="n">
        <x:v>42</x:v>
      </x:c>
      <x:c r="B53" s="6" t="n">
        <x:v>47118</x:v>
      </x:c>
      <x:c r="C53" s="7" t="n">
        <x:f>G52</x:f>
        <x:v>496914.94</x:v>
      </x:c>
      <x:c r="D53" s="7" t="n">
        <x:f>IF(A53=$B$7,ROUND(C53+E53,2),MIN($B$8,ROUND(C53+E53,2)))</x:f>
        <x:v>3151.17</x:v>
      </x:c>
      <x:c r="E53" s="7" t="n">
        <x:f>ROUND(C53*$B$6/12,2)</x:f>
        <x:v>2525.98</x:v>
      </x:c>
      <x:c r="F53" s="7" t="n">
        <x:f>ROUND(D53-E53,2)</x:f>
        <x:v>625.19</x:v>
      </x:c>
      <x:c r="G53" s="7" t="n">
        <x:f>ROUND(C53-F53,2)</x:f>
        <x:v>496289.75</x:v>
      </x:c>
      <x:c r="H53" s="7" t="n">
        <x:f>ROUND(D53-E53-F53,2)</x:f>
        <x:v>0</x:v>
      </x:c>
      <x:c r="I53" s="1" t="str">
        <x:v>Projection</x:v>
      </x:c>
    </x:row>
    <x:row r="54" ht="21" customHeight="1">
      <x:c r="A54" s="1" t="n">
        <x:v>43</x:v>
      </x:c>
      <x:c r="B54" s="6" t="n">
        <x:v>47149</x:v>
      </x:c>
      <x:c r="C54" s="7" t="n">
        <x:f>G53</x:f>
        <x:v>496289.75</x:v>
      </x:c>
      <x:c r="D54" s="7" t="n">
        <x:f>IF(A54=$B$7,ROUND(C54+E54,2),MIN($B$8,ROUND(C54+E54,2)))</x:f>
        <x:v>3151.17</x:v>
      </x:c>
      <x:c r="E54" s="7" t="n">
        <x:f>ROUND(C54*$B$6/12,2)</x:f>
        <x:v>2522.81</x:v>
      </x:c>
      <x:c r="F54" s="7" t="n">
        <x:f>ROUND(D54-E54,2)</x:f>
        <x:v>628.36</x:v>
      </x:c>
      <x:c r="G54" s="7" t="n">
        <x:f>ROUND(C54-F54,2)</x:f>
        <x:v>495661.39</x:v>
      </x:c>
      <x:c r="H54" s="7" t="n">
        <x:f>ROUND(D54-E54-F54,2)</x:f>
        <x:v>0</x:v>
      </x:c>
      <x:c r="I54" s="1" t="str">
        <x:v>Projection</x:v>
      </x:c>
    </x:row>
    <x:row r="55" ht="21" customHeight="1">
      <x:c r="A55" s="1" t="n">
        <x:v>44</x:v>
      </x:c>
      <x:c r="B55" s="6" t="n">
        <x:v>47177</x:v>
      </x:c>
      <x:c r="C55" s="7" t="n">
        <x:f>G54</x:f>
        <x:v>495661.39</x:v>
      </x:c>
      <x:c r="D55" s="7" t="n">
        <x:f>IF(A55=$B$7,ROUND(C55+E55,2),MIN($B$8,ROUND(C55+E55,2)))</x:f>
        <x:v>3151.17</x:v>
      </x:c>
      <x:c r="E55" s="7" t="n">
        <x:f>ROUND(C55*$B$6/12,2)</x:f>
        <x:v>2519.61</x:v>
      </x:c>
      <x:c r="F55" s="7" t="n">
        <x:f>ROUND(D55-E55,2)</x:f>
        <x:v>631.56</x:v>
      </x:c>
      <x:c r="G55" s="7" t="n">
        <x:f>ROUND(C55-F55,2)</x:f>
        <x:v>495029.83</x:v>
      </x:c>
      <x:c r="H55" s="7" t="n">
        <x:f>ROUND(D55-E55-F55,2)</x:f>
        <x:v>0</x:v>
      </x:c>
      <x:c r="I55" s="1" t="str">
        <x:v>Projection</x:v>
      </x:c>
    </x:row>
    <x:row r="56" ht="21" customHeight="1">
      <x:c r="A56" s="1" t="n">
        <x:v>45</x:v>
      </x:c>
      <x:c r="B56" s="6" t="n">
        <x:v>47208</x:v>
      </x:c>
      <x:c r="C56" s="7" t="n">
        <x:f>G55</x:f>
        <x:v>495029.83</x:v>
      </x:c>
      <x:c r="D56" s="7" t="n">
        <x:f>IF(A56=$B$7,ROUND(C56+E56,2),MIN($B$8,ROUND(C56+E56,2)))</x:f>
        <x:v>3151.17</x:v>
      </x:c>
      <x:c r="E56" s="7" t="n">
        <x:f>ROUND(C56*$B$6/12,2)</x:f>
        <x:v>2516.4</x:v>
      </x:c>
      <x:c r="F56" s="7" t="n">
        <x:f>ROUND(D56-E56,2)</x:f>
        <x:v>634.77</x:v>
      </x:c>
      <x:c r="G56" s="7" t="n">
        <x:f>ROUND(C56-F56,2)</x:f>
        <x:v>494395.06</x:v>
      </x:c>
      <x:c r="H56" s="7" t="n">
        <x:f>ROUND(D56-E56-F56,2)</x:f>
        <x:v>0</x:v>
      </x:c>
      <x:c r="I56" s="1" t="str">
        <x:v>Projection</x:v>
      </x:c>
    </x:row>
    <x:row r="57" ht="21" customHeight="1">
      <x:c r="A57" s="1" t="n">
        <x:v>46</x:v>
      </x:c>
      <x:c r="B57" s="6" t="n">
        <x:v>47238</x:v>
      </x:c>
      <x:c r="C57" s="7" t="n">
        <x:f>G56</x:f>
        <x:v>494395.06</x:v>
      </x:c>
      <x:c r="D57" s="7" t="n">
        <x:f>IF(A57=$B$7,ROUND(C57+E57,2),MIN($B$8,ROUND(C57+E57,2)))</x:f>
        <x:v>3151.17</x:v>
      </x:c>
      <x:c r="E57" s="7" t="n">
        <x:f>ROUND(C57*$B$6/12,2)</x:f>
        <x:v>2513.17</x:v>
      </x:c>
      <x:c r="F57" s="7" t="n">
        <x:f>ROUND(D57-E57,2)</x:f>
        <x:v>638</x:v>
      </x:c>
      <x:c r="G57" s="7" t="n">
        <x:f>ROUND(C57-F57,2)</x:f>
        <x:v>493757.06</x:v>
      </x:c>
      <x:c r="H57" s="7" t="n">
        <x:f>ROUND(D57-E57-F57,2)</x:f>
        <x:v>0</x:v>
      </x:c>
      <x:c r="I57" s="1" t="str">
        <x:v>Projection</x:v>
      </x:c>
    </x:row>
    <x:row r="58" ht="21" customHeight="1">
      <x:c r="A58" s="1" t="n">
        <x:v>47</x:v>
      </x:c>
      <x:c r="B58" s="6" t="n">
        <x:v>47269</x:v>
      </x:c>
      <x:c r="C58" s="7" t="n">
        <x:f>G57</x:f>
        <x:v>493757.06</x:v>
      </x:c>
      <x:c r="D58" s="7" t="n">
        <x:f>IF(A58=$B$7,ROUND(C58+E58,2),MIN($B$8,ROUND(C58+E58,2)))</x:f>
        <x:v>3151.17</x:v>
      </x:c>
      <x:c r="E58" s="7" t="n">
        <x:f>ROUND(C58*$B$6/12,2)</x:f>
        <x:v>2509.93</x:v>
      </x:c>
      <x:c r="F58" s="7" t="n">
        <x:f>ROUND(D58-E58,2)</x:f>
        <x:v>641.24</x:v>
      </x:c>
      <x:c r="G58" s="7" t="n">
        <x:f>ROUND(C58-F58,2)</x:f>
        <x:v>493115.82</x:v>
      </x:c>
      <x:c r="H58" s="7" t="n">
        <x:f>ROUND(D58-E58-F58,2)</x:f>
        <x:v>0</x:v>
      </x:c>
      <x:c r="I58" s="1" t="str">
        <x:v>Projection</x:v>
      </x:c>
    </x:row>
    <x:row r="59" ht="21" customHeight="1">
      <x:c r="A59" s="1" t="n">
        <x:v>48</x:v>
      </x:c>
      <x:c r="B59" s="6" t="n">
        <x:v>47299</x:v>
      </x:c>
      <x:c r="C59" s="7" t="n">
        <x:f>G58</x:f>
        <x:v>493115.82</x:v>
      </x:c>
      <x:c r="D59" s="7" t="n">
        <x:f>IF(A59=$B$7,ROUND(C59+E59,2),MIN($B$8,ROUND(C59+E59,2)))</x:f>
        <x:v>3151.17</x:v>
      </x:c>
      <x:c r="E59" s="7" t="n">
        <x:f>ROUND(C59*$B$6/12,2)</x:f>
        <x:v>2506.67</x:v>
      </x:c>
      <x:c r="F59" s="7" t="n">
        <x:f>ROUND(D59-E59,2)</x:f>
        <x:v>644.5</x:v>
      </x:c>
      <x:c r="G59" s="7" t="n">
        <x:f>ROUND(C59-F59,2)</x:f>
        <x:v>492471.32</x:v>
      </x:c>
      <x:c r="H59" s="7" t="n">
        <x:f>ROUND(D59-E59-F59,2)</x:f>
        <x:v>0</x:v>
      </x:c>
      <x:c r="I59" s="1" t="str">
        <x:v>Projection</x:v>
      </x:c>
    </x:row>
    <x:row r="60" ht="21" customHeight="1">
      <x:c r="A60" s="1" t="n">
        <x:v>49</x:v>
      </x:c>
      <x:c r="B60" s="6" t="n">
        <x:v>47330</x:v>
      </x:c>
      <x:c r="C60" s="7" t="n">
        <x:f>G59</x:f>
        <x:v>492471.32</x:v>
      </x:c>
      <x:c r="D60" s="7" t="n">
        <x:f>IF(A60=$B$7,ROUND(C60+E60,2),MIN($B$8,ROUND(C60+E60,2)))</x:f>
        <x:v>3151.17</x:v>
      </x:c>
      <x:c r="E60" s="7" t="n">
        <x:f>ROUND(C60*$B$6/12,2)</x:f>
        <x:v>2503.4</x:v>
      </x:c>
      <x:c r="F60" s="7" t="n">
        <x:f>ROUND(D60-E60,2)</x:f>
        <x:v>647.77</x:v>
      </x:c>
      <x:c r="G60" s="7" t="n">
        <x:f>ROUND(C60-F60,2)</x:f>
        <x:v>491823.55</x:v>
      </x:c>
      <x:c r="H60" s="7" t="n">
        <x:f>ROUND(D60-E60-F60,2)</x:f>
        <x:v>0</x:v>
      </x:c>
      <x:c r="I60" s="1" t="str">
        <x:v>Projection</x:v>
      </x:c>
    </x:row>
    <x:row r="61" ht="21" customHeight="1">
      <x:c r="A61" s="1" t="n">
        <x:v>50</x:v>
      </x:c>
      <x:c r="B61" s="6" t="n">
        <x:v>47361</x:v>
      </x:c>
      <x:c r="C61" s="7" t="n">
        <x:f>G60</x:f>
        <x:v>491823.55</x:v>
      </x:c>
      <x:c r="D61" s="7" t="n">
        <x:f>IF(A61=$B$7,ROUND(C61+E61,2),MIN($B$8,ROUND(C61+E61,2)))</x:f>
        <x:v>3151.17</x:v>
      </x:c>
      <x:c r="E61" s="7" t="n">
        <x:f>ROUND(C61*$B$6/12,2)</x:f>
        <x:v>2500.1</x:v>
      </x:c>
      <x:c r="F61" s="7" t="n">
        <x:f>ROUND(D61-E61,2)</x:f>
        <x:v>651.07</x:v>
      </x:c>
      <x:c r="G61" s="7" t="n">
        <x:f>ROUND(C61-F61,2)</x:f>
        <x:v>491172.48</x:v>
      </x:c>
      <x:c r="H61" s="7" t="n">
        <x:f>ROUND(D61-E61-F61,2)</x:f>
        <x:v>0</x:v>
      </x:c>
      <x:c r="I61" s="1" t="str">
        <x:v>Projection</x:v>
      </x:c>
    </x:row>
    <x:row r="62" ht="21" customHeight="1">
      <x:c r="A62" s="1" t="n">
        <x:v>51</x:v>
      </x:c>
      <x:c r="B62" s="6" t="n">
        <x:v>47391</x:v>
      </x:c>
      <x:c r="C62" s="7" t="n">
        <x:f>G61</x:f>
        <x:v>491172.48</x:v>
      </x:c>
      <x:c r="D62" s="7" t="n">
        <x:f>IF(A62=$B$7,ROUND(C62+E62,2),MIN($B$8,ROUND(C62+E62,2)))</x:f>
        <x:v>3151.17</x:v>
      </x:c>
      <x:c r="E62" s="7" t="n">
        <x:f>ROUND(C62*$B$6/12,2)</x:f>
        <x:v>2496.79</x:v>
      </x:c>
      <x:c r="F62" s="7" t="n">
        <x:f>ROUND(D62-E62,2)</x:f>
        <x:v>654.38</x:v>
      </x:c>
      <x:c r="G62" s="7" t="n">
        <x:f>ROUND(C62-F62,2)</x:f>
        <x:v>490518.1</x:v>
      </x:c>
      <x:c r="H62" s="7" t="n">
        <x:f>ROUND(D62-E62-F62,2)</x:f>
        <x:v>0</x:v>
      </x:c>
      <x:c r="I62" s="1" t="str">
        <x:v>Projection</x:v>
      </x:c>
    </x:row>
    <x:row r="63" ht="21" customHeight="1">
      <x:c r="A63" s="1" t="n">
        <x:v>52</x:v>
      </x:c>
      <x:c r="B63" s="6" t="n">
        <x:v>47422</x:v>
      </x:c>
      <x:c r="C63" s="7" t="n">
        <x:f>G62</x:f>
        <x:v>490518.1</x:v>
      </x:c>
      <x:c r="D63" s="7" t="n">
        <x:f>IF(A63=$B$7,ROUND(C63+E63,2),MIN($B$8,ROUND(C63+E63,2)))</x:f>
        <x:v>3151.17</x:v>
      </x:c>
      <x:c r="E63" s="7" t="n">
        <x:f>ROUND(C63*$B$6/12,2)</x:f>
        <x:v>2493.47</x:v>
      </x:c>
      <x:c r="F63" s="7" t="n">
        <x:f>ROUND(D63-E63,2)</x:f>
        <x:v>657.7</x:v>
      </x:c>
      <x:c r="G63" s="7" t="n">
        <x:f>ROUND(C63-F63,2)</x:f>
        <x:v>489860.4</x:v>
      </x:c>
      <x:c r="H63" s="7" t="n">
        <x:f>ROUND(D63-E63-F63,2)</x:f>
        <x:v>0</x:v>
      </x:c>
      <x:c r="I63" s="1" t="str">
        <x:v>Projection</x:v>
      </x:c>
    </x:row>
    <x:row r="64" ht="21" customHeight="1">
      <x:c r="A64" s="1" t="n">
        <x:v>53</x:v>
      </x:c>
      <x:c r="B64" s="6" t="n">
        <x:v>47452</x:v>
      </x:c>
      <x:c r="C64" s="7" t="n">
        <x:f>G63</x:f>
        <x:v>489860.4</x:v>
      </x:c>
      <x:c r="D64" s="7" t="n">
        <x:f>IF(A64=$B$7,ROUND(C64+E64,2),MIN($B$8,ROUND(C64+E64,2)))</x:f>
        <x:v>3151.17</x:v>
      </x:c>
      <x:c r="E64" s="7" t="n">
        <x:f>ROUND(C64*$B$6/12,2)</x:f>
        <x:v>2490.12</x:v>
      </x:c>
      <x:c r="F64" s="7" t="n">
        <x:f>ROUND(D64-E64,2)</x:f>
        <x:v>661.05</x:v>
      </x:c>
      <x:c r="G64" s="7" t="n">
        <x:f>ROUND(C64-F64,2)</x:f>
        <x:v>489199.35</x:v>
      </x:c>
      <x:c r="H64" s="7" t="n">
        <x:f>ROUND(D64-E64-F64,2)</x:f>
        <x:v>0</x:v>
      </x:c>
      <x:c r="I64" s="1" t="str">
        <x:v>Projection</x:v>
      </x:c>
    </x:row>
    <x:row r="65" ht="21" customHeight="1">
      <x:c r="A65" s="1" t="n">
        <x:v>54</x:v>
      </x:c>
      <x:c r="B65" s="6" t="n">
        <x:v>47483</x:v>
      </x:c>
      <x:c r="C65" s="7" t="n">
        <x:f>G64</x:f>
        <x:v>489199.35</x:v>
      </x:c>
      <x:c r="D65" s="7" t="n">
        <x:f>IF(A65=$B$7,ROUND(C65+E65,2),MIN($B$8,ROUND(C65+E65,2)))</x:f>
        <x:v>3151.17</x:v>
      </x:c>
      <x:c r="E65" s="7" t="n">
        <x:f>ROUND(C65*$B$6/12,2)</x:f>
        <x:v>2486.76</x:v>
      </x:c>
      <x:c r="F65" s="7" t="n">
        <x:f>ROUND(D65-E65,2)</x:f>
        <x:v>664.41</x:v>
      </x:c>
      <x:c r="G65" s="7" t="n">
        <x:f>ROUND(C65-F65,2)</x:f>
        <x:v>488534.94</x:v>
      </x:c>
      <x:c r="H65" s="7" t="n">
        <x:f>ROUND(D65-E65-F65,2)</x:f>
        <x:v>0</x:v>
      </x:c>
      <x:c r="I65" s="1" t="str">
        <x:v>Projection</x:v>
      </x:c>
    </x:row>
    <x:row r="66" ht="21" customHeight="1">
      <x:c r="A66" s="1" t="n">
        <x:v>55</x:v>
      </x:c>
      <x:c r="B66" s="6" t="n">
        <x:v>47514</x:v>
      </x:c>
      <x:c r="C66" s="7" t="n">
        <x:f>G65</x:f>
        <x:v>488534.94</x:v>
      </x:c>
      <x:c r="D66" s="7" t="n">
        <x:f>IF(A66=$B$7,ROUND(C66+E66,2),MIN($B$8,ROUND(C66+E66,2)))</x:f>
        <x:v>3151.17</x:v>
      </x:c>
      <x:c r="E66" s="7" t="n">
        <x:f>ROUND(C66*$B$6/12,2)</x:f>
        <x:v>2483.39</x:v>
      </x:c>
      <x:c r="F66" s="7" t="n">
        <x:f>ROUND(D66-E66,2)</x:f>
        <x:v>667.78</x:v>
      </x:c>
      <x:c r="G66" s="7" t="n">
        <x:f>ROUND(C66-F66,2)</x:f>
        <x:v>487867.16</x:v>
      </x:c>
      <x:c r="H66" s="7" t="n">
        <x:f>ROUND(D66-E66-F66,2)</x:f>
        <x:v>0</x:v>
      </x:c>
      <x:c r="I66" s="1" t="str">
        <x:v>Projection</x:v>
      </x:c>
    </x:row>
    <x:row r="67" ht="21" customHeight="1">
      <x:c r="A67" s="1" t="n">
        <x:v>56</x:v>
      </x:c>
      <x:c r="B67" s="6" t="n">
        <x:v>47542</x:v>
      </x:c>
      <x:c r="C67" s="7" t="n">
        <x:f>G66</x:f>
        <x:v>487867.16</x:v>
      </x:c>
      <x:c r="D67" s="7" t="n">
        <x:f>IF(A67=$B$7,ROUND(C67+E67,2),MIN($B$8,ROUND(C67+E67,2)))</x:f>
        <x:v>3151.17</x:v>
      </x:c>
      <x:c r="E67" s="7" t="n">
        <x:f>ROUND(C67*$B$6/12,2)</x:f>
        <x:v>2479.99</x:v>
      </x:c>
      <x:c r="F67" s="7" t="n">
        <x:f>ROUND(D67-E67,2)</x:f>
        <x:v>671.18</x:v>
      </x:c>
      <x:c r="G67" s="7" t="n">
        <x:f>ROUND(C67-F67,2)</x:f>
        <x:v>487195.98</x:v>
      </x:c>
      <x:c r="H67" s="7" t="n">
        <x:f>ROUND(D67-E67-F67,2)</x:f>
        <x:v>0</x:v>
      </x:c>
      <x:c r="I67" s="1" t="str">
        <x:v>Projection</x:v>
      </x:c>
    </x:row>
    <x:row r="68" ht="21" customHeight="1">
      <x:c r="A68" s="1" t="n">
        <x:v>57</x:v>
      </x:c>
      <x:c r="B68" s="6" t="n">
        <x:v>47573</x:v>
      </x:c>
      <x:c r="C68" s="7" t="n">
        <x:f>G67</x:f>
        <x:v>487195.98</x:v>
      </x:c>
      <x:c r="D68" s="7" t="n">
        <x:f>IF(A68=$B$7,ROUND(C68+E68,2),MIN($B$8,ROUND(C68+E68,2)))</x:f>
        <x:v>3151.17</x:v>
      </x:c>
      <x:c r="E68" s="7" t="n">
        <x:f>ROUND(C68*$B$6/12,2)</x:f>
        <x:v>2476.58</x:v>
      </x:c>
      <x:c r="F68" s="7" t="n">
        <x:f>ROUND(D68-E68,2)</x:f>
        <x:v>674.59</x:v>
      </x:c>
      <x:c r="G68" s="7" t="n">
        <x:f>ROUND(C68-F68,2)</x:f>
        <x:v>486521.39</x:v>
      </x:c>
      <x:c r="H68" s="7" t="n">
        <x:f>ROUND(D68-E68-F68,2)</x:f>
        <x:v>0</x:v>
      </x:c>
      <x:c r="I68" s="1" t="str">
        <x:v>Projection</x:v>
      </x:c>
    </x:row>
    <x:row r="69" ht="21" customHeight="1">
      <x:c r="A69" s="1" t="n">
        <x:v>58</x:v>
      </x:c>
      <x:c r="B69" s="6" t="n">
        <x:v>47603</x:v>
      </x:c>
      <x:c r="C69" s="7" t="n">
        <x:f>G68</x:f>
        <x:v>486521.39</x:v>
      </x:c>
      <x:c r="D69" s="7" t="n">
        <x:f>IF(A69=$B$7,ROUND(C69+E69,2),MIN($B$8,ROUND(C69+E69,2)))</x:f>
        <x:v>3151.17</x:v>
      </x:c>
      <x:c r="E69" s="7" t="n">
        <x:f>ROUND(C69*$B$6/12,2)</x:f>
        <x:v>2473.15</x:v>
      </x:c>
      <x:c r="F69" s="7" t="n">
        <x:f>ROUND(D69-E69,2)</x:f>
        <x:v>678.02</x:v>
      </x:c>
      <x:c r="G69" s="7" t="n">
        <x:f>ROUND(C69-F69,2)</x:f>
        <x:v>485843.37</x:v>
      </x:c>
      <x:c r="H69" s="7" t="n">
        <x:f>ROUND(D69-E69-F69,2)</x:f>
        <x:v>0</x:v>
      </x:c>
      <x:c r="I69" s="1" t="str">
        <x:v>Projection</x:v>
      </x:c>
    </x:row>
    <x:row r="70" ht="21" customHeight="1">
      <x:c r="A70" s="1" t="n">
        <x:v>59</x:v>
      </x:c>
      <x:c r="B70" s="6" t="n">
        <x:v>47634</x:v>
      </x:c>
      <x:c r="C70" s="7" t="n">
        <x:f>G69</x:f>
        <x:v>485843.37</x:v>
      </x:c>
      <x:c r="D70" s="7" t="n">
        <x:f>IF(A70=$B$7,ROUND(C70+E70,2),MIN($B$8,ROUND(C70+E70,2)))</x:f>
        <x:v>3151.17</x:v>
      </x:c>
      <x:c r="E70" s="7" t="n">
        <x:f>ROUND(C70*$B$6/12,2)</x:f>
        <x:v>2469.7</x:v>
      </x:c>
      <x:c r="F70" s="7" t="n">
        <x:f>ROUND(D70-E70,2)</x:f>
        <x:v>681.47</x:v>
      </x:c>
      <x:c r="G70" s="7" t="n">
        <x:f>ROUND(C70-F70,2)</x:f>
        <x:v>485161.9</x:v>
      </x:c>
      <x:c r="H70" s="7" t="n">
        <x:f>ROUND(D70-E70-F70,2)</x:f>
        <x:v>0</x:v>
      </x:c>
      <x:c r="I70" s="1" t="str">
        <x:v>Projection</x:v>
      </x:c>
    </x:row>
    <x:row r="71" ht="21" customHeight="1">
      <x:c r="A71" s="1" t="n">
        <x:v>60</x:v>
      </x:c>
      <x:c r="B71" s="6" t="n">
        <x:v>47664</x:v>
      </x:c>
      <x:c r="C71" s="7" t="n">
        <x:f>G70</x:f>
        <x:v>485161.9</x:v>
      </x:c>
      <x:c r="D71" s="7" t="n">
        <x:f>IF(A71=$B$7,ROUND(C71+E71,2),MIN($B$8,ROUND(C71+E71,2)))</x:f>
        <x:v>3151.17</x:v>
      </x:c>
      <x:c r="E71" s="7" t="n">
        <x:f>ROUND(C71*$B$6/12,2)</x:f>
        <x:v>2466.24</x:v>
      </x:c>
      <x:c r="F71" s="7" t="n">
        <x:f>ROUND(D71-E71,2)</x:f>
        <x:v>684.93</x:v>
      </x:c>
      <x:c r="G71" s="7" t="n">
        <x:f>ROUND(C71-F71,2)</x:f>
        <x:v>484476.97</x:v>
      </x:c>
      <x:c r="H71" s="7" t="n">
        <x:f>ROUND(D71-E71-F71,2)</x:f>
        <x:v>0</x:v>
      </x:c>
      <x:c r="I71" s="1" t="str">
        <x:v>Projection</x:v>
      </x:c>
    </x:row>
    <x:row r="72" ht="21" customHeight="1">
      <x:c r="A72" s="1" t="n">
        <x:v>61</x:v>
      </x:c>
      <x:c r="B72" s="6" t="n">
        <x:v>47695</x:v>
      </x:c>
      <x:c r="C72" s="7" t="n">
        <x:f>G71</x:f>
        <x:v>484476.97</x:v>
      </x:c>
      <x:c r="D72" s="7" t="n">
        <x:f>IF(A72=$B$7,ROUND(C72+E72,2),MIN($B$8,ROUND(C72+E72,2)))</x:f>
        <x:v>3151.17</x:v>
      </x:c>
      <x:c r="E72" s="7" t="n">
        <x:f>ROUND(C72*$B$6/12,2)</x:f>
        <x:v>2462.76</x:v>
      </x:c>
      <x:c r="F72" s="7" t="n">
        <x:f>ROUND(D72-E72,2)</x:f>
        <x:v>688.41</x:v>
      </x:c>
      <x:c r="G72" s="7" t="n">
        <x:f>ROUND(C72-F72,2)</x:f>
        <x:v>483788.56</x:v>
      </x:c>
      <x:c r="H72" s="7" t="n">
        <x:f>ROUND(D72-E72-F72,2)</x:f>
        <x:v>0</x:v>
      </x:c>
      <x:c r="I72" s="1" t="str">
        <x:v>Projection</x:v>
      </x:c>
    </x:row>
    <x:row r="73" ht="21" customHeight="1">
      <x:c r="A73" s="1" t="n">
        <x:v>62</x:v>
      </x:c>
      <x:c r="B73" s="6" t="n">
        <x:v>47726</x:v>
      </x:c>
      <x:c r="C73" s="7" t="n">
        <x:f>G72</x:f>
        <x:v>483788.56</x:v>
      </x:c>
      <x:c r="D73" s="7" t="n">
        <x:f>IF(A73=$B$7,ROUND(C73+E73,2),MIN($B$8,ROUND(C73+E73,2)))</x:f>
        <x:v>3151.17</x:v>
      </x:c>
      <x:c r="E73" s="7" t="n">
        <x:f>ROUND(C73*$B$6/12,2)</x:f>
        <x:v>2459.26</x:v>
      </x:c>
      <x:c r="F73" s="7" t="n">
        <x:f>ROUND(D73-E73,2)</x:f>
        <x:v>691.91</x:v>
      </x:c>
      <x:c r="G73" s="7" t="n">
        <x:f>ROUND(C73-F73,2)</x:f>
        <x:v>483096.65</x:v>
      </x:c>
      <x:c r="H73" s="7" t="n">
        <x:f>ROUND(D73-E73-F73,2)</x:f>
        <x:v>0</x:v>
      </x:c>
      <x:c r="I73" s="1" t="str">
        <x:v>Projection</x:v>
      </x:c>
    </x:row>
    <x:row r="74" ht="21" customHeight="1">
      <x:c r="A74" s="1" t="n">
        <x:v>63</x:v>
      </x:c>
      <x:c r="B74" s="6" t="n">
        <x:v>47756</x:v>
      </x:c>
      <x:c r="C74" s="7" t="n">
        <x:f>G73</x:f>
        <x:v>483096.65</x:v>
      </x:c>
      <x:c r="D74" s="7" t="n">
        <x:f>IF(A74=$B$7,ROUND(C74+E74,2),MIN($B$8,ROUND(C74+E74,2)))</x:f>
        <x:v>3151.17</x:v>
      </x:c>
      <x:c r="E74" s="7" t="n">
        <x:f>ROUND(C74*$B$6/12,2)</x:f>
        <x:v>2455.74</x:v>
      </x:c>
      <x:c r="F74" s="7" t="n">
        <x:f>ROUND(D74-E74,2)</x:f>
        <x:v>695.43</x:v>
      </x:c>
      <x:c r="G74" s="7" t="n">
        <x:f>ROUND(C74-F74,2)</x:f>
        <x:v>482401.22</x:v>
      </x:c>
      <x:c r="H74" s="7" t="n">
        <x:f>ROUND(D74-E74-F74,2)</x:f>
        <x:v>0</x:v>
      </x:c>
      <x:c r="I74" s="1" t="str">
        <x:v>Projection</x:v>
      </x:c>
    </x:row>
    <x:row r="75" ht="21" customHeight="1">
      <x:c r="A75" s="1" t="n">
        <x:v>64</x:v>
      </x:c>
      <x:c r="B75" s="6" t="n">
        <x:v>47787</x:v>
      </x:c>
      <x:c r="C75" s="7" t="n">
        <x:f>G74</x:f>
        <x:v>482401.22</x:v>
      </x:c>
      <x:c r="D75" s="7" t="n">
        <x:f>IF(A75=$B$7,ROUND(C75+E75,2),MIN($B$8,ROUND(C75+E75,2)))</x:f>
        <x:v>3151.17</x:v>
      </x:c>
      <x:c r="E75" s="7" t="n">
        <x:f>ROUND(C75*$B$6/12,2)</x:f>
        <x:v>2452.21</x:v>
      </x:c>
      <x:c r="F75" s="7" t="n">
        <x:f>ROUND(D75-E75,2)</x:f>
        <x:v>698.96</x:v>
      </x:c>
      <x:c r="G75" s="7" t="n">
        <x:f>ROUND(C75-F75,2)</x:f>
        <x:v>481702.26</x:v>
      </x:c>
      <x:c r="H75" s="7" t="n">
        <x:f>ROUND(D75-E75-F75,2)</x:f>
        <x:v>0</x:v>
      </x:c>
      <x:c r="I75" s="1" t="str">
        <x:v>Projection</x:v>
      </x:c>
    </x:row>
    <x:row r="76" ht="21" customHeight="1">
      <x:c r="A76" s="1" t="n">
        <x:v>65</x:v>
      </x:c>
      <x:c r="B76" s="6" t="n">
        <x:v>47817</x:v>
      </x:c>
      <x:c r="C76" s="7" t="n">
        <x:f>G75</x:f>
        <x:v>481702.26</x:v>
      </x:c>
      <x:c r="D76" s="7" t="n">
        <x:f>IF(A76=$B$7,ROUND(C76+E76,2),MIN($B$8,ROUND(C76+E76,2)))</x:f>
        <x:v>3151.17</x:v>
      </x:c>
      <x:c r="E76" s="7" t="n">
        <x:f>ROUND(C76*$B$6/12,2)</x:f>
        <x:v>2448.65</x:v>
      </x:c>
      <x:c r="F76" s="7" t="n">
        <x:f>ROUND(D76-E76,2)</x:f>
        <x:v>702.52</x:v>
      </x:c>
      <x:c r="G76" s="7" t="n">
        <x:f>ROUND(C76-F76,2)</x:f>
        <x:v>480999.74</x:v>
      </x:c>
      <x:c r="H76" s="7" t="n">
        <x:f>ROUND(D76-E76-F76,2)</x:f>
        <x:v>0</x:v>
      </x:c>
      <x:c r="I76" s="1" t="str">
        <x:v>Projection</x:v>
      </x:c>
    </x:row>
    <x:row r="77" ht="21" customHeight="1">
      <x:c r="A77" s="1" t="n">
        <x:v>66</x:v>
      </x:c>
      <x:c r="B77" s="6" t="n">
        <x:v>47848</x:v>
      </x:c>
      <x:c r="C77" s="7" t="n">
        <x:f>G76</x:f>
        <x:v>480999.74</x:v>
      </x:c>
      <x:c r="D77" s="7" t="n">
        <x:f>IF(A77=$B$7,ROUND(C77+E77,2),MIN($B$8,ROUND(C77+E77,2)))</x:f>
        <x:v>3151.17</x:v>
      </x:c>
      <x:c r="E77" s="7" t="n">
        <x:f>ROUND(C77*$B$6/12,2)</x:f>
        <x:v>2445.08</x:v>
      </x:c>
      <x:c r="F77" s="7" t="n">
        <x:f>ROUND(D77-E77,2)</x:f>
        <x:v>706.09</x:v>
      </x:c>
      <x:c r="G77" s="7" t="n">
        <x:f>ROUND(C77-F77,2)</x:f>
        <x:v>480293.65</x:v>
      </x:c>
      <x:c r="H77" s="7" t="n">
        <x:f>ROUND(D77-E77-F77,2)</x:f>
        <x:v>0</x:v>
      </x:c>
      <x:c r="I77" s="1" t="str">
        <x:v>Projection</x:v>
      </x:c>
    </x:row>
    <x:row r="78" ht="21" customHeight="1">
      <x:c r="A78" s="1" t="n">
        <x:v>67</x:v>
      </x:c>
      <x:c r="B78" s="6" t="n">
        <x:v>47879</x:v>
      </x:c>
      <x:c r="C78" s="7" t="n">
        <x:f>G77</x:f>
        <x:v>480293.65</x:v>
      </x:c>
      <x:c r="D78" s="7" t="n">
        <x:f>IF(A78=$B$7,ROUND(C78+E78,2),MIN($B$8,ROUND(C78+E78,2)))</x:f>
        <x:v>3151.17</x:v>
      </x:c>
      <x:c r="E78" s="7" t="n">
        <x:f>ROUND(C78*$B$6/12,2)</x:f>
        <x:v>2441.49</x:v>
      </x:c>
      <x:c r="F78" s="7" t="n">
        <x:f>ROUND(D78-E78,2)</x:f>
        <x:v>709.68</x:v>
      </x:c>
      <x:c r="G78" s="7" t="n">
        <x:f>ROUND(C78-F78,2)</x:f>
        <x:v>479583.97</x:v>
      </x:c>
      <x:c r="H78" s="7" t="n">
        <x:f>ROUND(D78-E78-F78,2)</x:f>
        <x:v>0</x:v>
      </x:c>
      <x:c r="I78" s="1" t="str">
        <x:v>Projection</x:v>
      </x:c>
    </x:row>
    <x:row r="79" ht="21" customHeight="1">
      <x:c r="A79" s="1" t="n">
        <x:v>68</x:v>
      </x:c>
      <x:c r="B79" s="6" t="n">
        <x:v>47907</x:v>
      </x:c>
      <x:c r="C79" s="7" t="n">
        <x:f>G78</x:f>
        <x:v>479583.97</x:v>
      </x:c>
      <x:c r="D79" s="7" t="n">
        <x:f>IF(A79=$B$7,ROUND(C79+E79,2),MIN($B$8,ROUND(C79+E79,2)))</x:f>
        <x:v>3151.17</x:v>
      </x:c>
      <x:c r="E79" s="7" t="n">
        <x:f>ROUND(C79*$B$6/12,2)</x:f>
        <x:v>2437.89</x:v>
      </x:c>
      <x:c r="F79" s="7" t="n">
        <x:f>ROUND(D79-E79,2)</x:f>
        <x:v>713.28</x:v>
      </x:c>
      <x:c r="G79" s="7" t="n">
        <x:f>ROUND(C79-F79,2)</x:f>
        <x:v>478870.69</x:v>
      </x:c>
      <x:c r="H79" s="7" t="n">
        <x:f>ROUND(D79-E79-F79,2)</x:f>
        <x:v>0</x:v>
      </x:c>
      <x:c r="I79" s="1" t="str">
        <x:v>Projection</x:v>
      </x:c>
    </x:row>
    <x:row r="80" ht="21" customHeight="1">
      <x:c r="A80" s="1" t="n">
        <x:v>69</x:v>
      </x:c>
      <x:c r="B80" s="6" t="n">
        <x:v>47938</x:v>
      </x:c>
      <x:c r="C80" s="7" t="n">
        <x:f>G79</x:f>
        <x:v>478870.69</x:v>
      </x:c>
      <x:c r="D80" s="7" t="n">
        <x:f>IF(A80=$B$7,ROUND(C80+E80,2),MIN($B$8,ROUND(C80+E80,2)))</x:f>
        <x:v>3151.17</x:v>
      </x:c>
      <x:c r="E80" s="7" t="n">
        <x:f>ROUND(C80*$B$6/12,2)</x:f>
        <x:v>2434.26</x:v>
      </x:c>
      <x:c r="F80" s="7" t="n">
        <x:f>ROUND(D80-E80,2)</x:f>
        <x:v>716.91</x:v>
      </x:c>
      <x:c r="G80" s="7" t="n">
        <x:f>ROUND(C80-F80,2)</x:f>
        <x:v>478153.78</x:v>
      </x:c>
      <x:c r="H80" s="7" t="n">
        <x:f>ROUND(D80-E80-F80,2)</x:f>
        <x:v>0</x:v>
      </x:c>
      <x:c r="I80" s="1" t="str">
        <x:v>Projection</x:v>
      </x:c>
    </x:row>
    <x:row r="81" ht="21" customHeight="1">
      <x:c r="A81" s="1" t="n">
        <x:v>70</x:v>
      </x:c>
      <x:c r="B81" s="6" t="n">
        <x:v>47968</x:v>
      </x:c>
      <x:c r="C81" s="7" t="n">
        <x:f>G80</x:f>
        <x:v>478153.78</x:v>
      </x:c>
      <x:c r="D81" s="7" t="n">
        <x:f>IF(A81=$B$7,ROUND(C81+E81,2),MIN($B$8,ROUND(C81+E81,2)))</x:f>
        <x:v>3151.17</x:v>
      </x:c>
      <x:c r="E81" s="7" t="n">
        <x:f>ROUND(C81*$B$6/12,2)</x:f>
        <x:v>2430.62</x:v>
      </x:c>
      <x:c r="F81" s="7" t="n">
        <x:f>ROUND(D81-E81,2)</x:f>
        <x:v>720.55</x:v>
      </x:c>
      <x:c r="G81" s="7" t="n">
        <x:f>ROUND(C81-F81,2)</x:f>
        <x:v>477433.23</x:v>
      </x:c>
      <x:c r="H81" s="7" t="n">
        <x:f>ROUND(D81-E81-F81,2)</x:f>
        <x:v>0</x:v>
      </x:c>
      <x:c r="I81" s="1" t="str">
        <x:v>Projection</x:v>
      </x:c>
    </x:row>
    <x:row r="82" ht="21" customHeight="1">
      <x:c r="A82" s="1" t="n">
        <x:v>71</x:v>
      </x:c>
      <x:c r="B82" s="6" t="n">
        <x:v>47999</x:v>
      </x:c>
      <x:c r="C82" s="7" t="n">
        <x:f>G81</x:f>
        <x:v>477433.23</x:v>
      </x:c>
      <x:c r="D82" s="7" t="n">
        <x:f>IF(A82=$B$7,ROUND(C82+E82,2),MIN($B$8,ROUND(C82+E82,2)))</x:f>
        <x:v>3151.17</x:v>
      </x:c>
      <x:c r="E82" s="7" t="n">
        <x:f>ROUND(C82*$B$6/12,2)</x:f>
        <x:v>2426.95</x:v>
      </x:c>
      <x:c r="F82" s="7" t="n">
        <x:f>ROUND(D82-E82,2)</x:f>
        <x:v>724.22</x:v>
      </x:c>
      <x:c r="G82" s="7" t="n">
        <x:f>ROUND(C82-F82,2)</x:f>
        <x:v>476709.01</x:v>
      </x:c>
      <x:c r="H82" s="7" t="n">
        <x:f>ROUND(D82-E82-F82,2)</x:f>
        <x:v>0</x:v>
      </x:c>
      <x:c r="I82" s="1" t="str">
        <x:v>Projection</x:v>
      </x:c>
    </x:row>
    <x:row r="83" ht="21" customHeight="1">
      <x:c r="A83" s="1" t="n">
        <x:v>72</x:v>
      </x:c>
      <x:c r="B83" s="6" t="n">
        <x:v>48029</x:v>
      </x:c>
      <x:c r="C83" s="7" t="n">
        <x:f>G82</x:f>
        <x:v>476709.01</x:v>
      </x:c>
      <x:c r="D83" s="7" t="n">
        <x:f>IF(A83=$B$7,ROUND(C83+E83,2),MIN($B$8,ROUND(C83+E83,2)))</x:f>
        <x:v>3151.17</x:v>
      </x:c>
      <x:c r="E83" s="7" t="n">
        <x:f>ROUND(C83*$B$6/12,2)</x:f>
        <x:v>2423.27</x:v>
      </x:c>
      <x:c r="F83" s="7" t="n">
        <x:f>ROUND(D83-E83,2)</x:f>
        <x:v>727.9</x:v>
      </x:c>
      <x:c r="G83" s="7" t="n">
        <x:f>ROUND(C83-F83,2)</x:f>
        <x:v>475981.11</x:v>
      </x:c>
      <x:c r="H83" s="7" t="n">
        <x:f>ROUND(D83-E83-F83,2)</x:f>
        <x:v>0</x:v>
      </x:c>
      <x:c r="I83" s="1" t="str">
        <x:v>Projection</x:v>
      </x:c>
    </x:row>
    <x:row r="84" ht="21" customHeight="1">
      <x:c r="A84" s="1" t="n">
        <x:v>73</x:v>
      </x:c>
      <x:c r="B84" s="6" t="n">
        <x:v>48060</x:v>
      </x:c>
      <x:c r="C84" s="7" t="n">
        <x:f>G83</x:f>
        <x:v>475981.11</x:v>
      </x:c>
      <x:c r="D84" s="7" t="n">
        <x:f>IF(A84=$B$7,ROUND(C84+E84,2),MIN($B$8,ROUND(C84+E84,2)))</x:f>
        <x:v>3151.17</x:v>
      </x:c>
      <x:c r="E84" s="7" t="n">
        <x:f>ROUND(C84*$B$6/12,2)</x:f>
        <x:v>2419.57</x:v>
      </x:c>
      <x:c r="F84" s="7" t="n">
        <x:f>ROUND(D84-E84,2)</x:f>
        <x:v>731.6</x:v>
      </x:c>
      <x:c r="G84" s="7" t="n">
        <x:f>ROUND(C84-F84,2)</x:f>
        <x:v>475249.51</x:v>
      </x:c>
      <x:c r="H84" s="7" t="n">
        <x:f>ROUND(D84-E84-F84,2)</x:f>
        <x:v>0</x:v>
      </x:c>
      <x:c r="I84" s="1" t="str">
        <x:v>Projection</x:v>
      </x:c>
    </x:row>
    <x:row r="85" ht="21" customHeight="1">
      <x:c r="A85" s="1" t="n">
        <x:v>74</x:v>
      </x:c>
      <x:c r="B85" s="6" t="n">
        <x:v>48091</x:v>
      </x:c>
      <x:c r="C85" s="7" t="n">
        <x:f>G84</x:f>
        <x:v>475249.51</x:v>
      </x:c>
      <x:c r="D85" s="7" t="n">
        <x:f>IF(A85=$B$7,ROUND(C85+E85,2),MIN($B$8,ROUND(C85+E85,2)))</x:f>
        <x:v>3151.17</x:v>
      </x:c>
      <x:c r="E85" s="7" t="n">
        <x:f>ROUND(C85*$B$6/12,2)</x:f>
        <x:v>2415.85</x:v>
      </x:c>
      <x:c r="F85" s="7" t="n">
        <x:f>ROUND(D85-E85,2)</x:f>
        <x:v>735.32</x:v>
      </x:c>
      <x:c r="G85" s="7" t="n">
        <x:f>ROUND(C85-F85,2)</x:f>
        <x:v>474514.19</x:v>
      </x:c>
      <x:c r="H85" s="7" t="n">
        <x:f>ROUND(D85-E85-F85,2)</x:f>
        <x:v>0</x:v>
      </x:c>
      <x:c r="I85" s="1" t="str">
        <x:v>Projection</x:v>
      </x:c>
    </x:row>
    <x:row r="86" ht="21" customHeight="1">
      <x:c r="A86" s="1" t="n">
        <x:v>75</x:v>
      </x:c>
      <x:c r="B86" s="6" t="n">
        <x:v>48121</x:v>
      </x:c>
      <x:c r="C86" s="7" t="n">
        <x:f>G85</x:f>
        <x:v>474514.19</x:v>
      </x:c>
      <x:c r="D86" s="7" t="n">
        <x:f>IF(A86=$B$7,ROUND(C86+E86,2),MIN($B$8,ROUND(C86+E86,2)))</x:f>
        <x:v>3151.17</x:v>
      </x:c>
      <x:c r="E86" s="7" t="n">
        <x:f>ROUND(C86*$B$6/12,2)</x:f>
        <x:v>2412.11</x:v>
      </x:c>
      <x:c r="F86" s="7" t="n">
        <x:f>ROUND(D86-E86,2)</x:f>
        <x:v>739.06</x:v>
      </x:c>
      <x:c r="G86" s="7" t="n">
        <x:f>ROUND(C86-F86,2)</x:f>
        <x:v>473775.13</x:v>
      </x:c>
      <x:c r="H86" s="7" t="n">
        <x:f>ROUND(D86-E86-F86,2)</x:f>
        <x:v>0</x:v>
      </x:c>
      <x:c r="I86" s="1" t="str">
        <x:v>Projection</x:v>
      </x:c>
    </x:row>
    <x:row r="87" ht="21" customHeight="1">
      <x:c r="A87" s="1" t="n">
        <x:v>76</x:v>
      </x:c>
      <x:c r="B87" s="6" t="n">
        <x:v>48152</x:v>
      </x:c>
      <x:c r="C87" s="7" t="n">
        <x:f>G86</x:f>
        <x:v>473775.13</x:v>
      </x:c>
      <x:c r="D87" s="7" t="n">
        <x:f>IF(A87=$B$7,ROUND(C87+E87,2),MIN($B$8,ROUND(C87+E87,2)))</x:f>
        <x:v>3151.17</x:v>
      </x:c>
      <x:c r="E87" s="7" t="n">
        <x:f>ROUND(C87*$B$6/12,2)</x:f>
        <x:v>2408.36</x:v>
      </x:c>
      <x:c r="F87" s="7" t="n">
        <x:f>ROUND(D87-E87,2)</x:f>
        <x:v>742.81</x:v>
      </x:c>
      <x:c r="G87" s="7" t="n">
        <x:f>ROUND(C87-F87,2)</x:f>
        <x:v>473032.32</x:v>
      </x:c>
      <x:c r="H87" s="7" t="n">
        <x:f>ROUND(D87-E87-F87,2)</x:f>
        <x:v>0</x:v>
      </x:c>
      <x:c r="I87" s="1" t="str">
        <x:v>Projection</x:v>
      </x:c>
    </x:row>
    <x:row r="88" ht="21" customHeight="1">
      <x:c r="A88" s="1" t="n">
        <x:v>77</x:v>
      </x:c>
      <x:c r="B88" s="6" t="n">
        <x:v>48182</x:v>
      </x:c>
      <x:c r="C88" s="7" t="n">
        <x:f>G87</x:f>
        <x:v>473032.32</x:v>
      </x:c>
      <x:c r="D88" s="7" t="n">
        <x:f>IF(A88=$B$7,ROUND(C88+E88,2),MIN($B$8,ROUND(C88+E88,2)))</x:f>
        <x:v>3151.17</x:v>
      </x:c>
      <x:c r="E88" s="7" t="n">
        <x:f>ROUND(C88*$B$6/12,2)</x:f>
        <x:v>2404.58</x:v>
      </x:c>
      <x:c r="F88" s="7" t="n">
        <x:f>ROUND(D88-E88,2)</x:f>
        <x:v>746.59</x:v>
      </x:c>
      <x:c r="G88" s="7" t="n">
        <x:f>ROUND(C88-F88,2)</x:f>
        <x:v>472285.73</x:v>
      </x:c>
      <x:c r="H88" s="7" t="n">
        <x:f>ROUND(D88-E88-F88,2)</x:f>
        <x:v>0</x:v>
      </x:c>
      <x:c r="I88" s="1" t="str">
        <x:v>Projection</x:v>
      </x:c>
    </x:row>
    <x:row r="89" ht="21" customHeight="1">
      <x:c r="A89" s="1" t="n">
        <x:v>78</x:v>
      </x:c>
      <x:c r="B89" s="6" t="n">
        <x:v>48213</x:v>
      </x:c>
      <x:c r="C89" s="7" t="n">
        <x:f>G88</x:f>
        <x:v>472285.73</x:v>
      </x:c>
      <x:c r="D89" s="7" t="n">
        <x:f>IF(A89=$B$7,ROUND(C89+E89,2),MIN($B$8,ROUND(C89+E89,2)))</x:f>
        <x:v>3151.17</x:v>
      </x:c>
      <x:c r="E89" s="7" t="n">
        <x:f>ROUND(C89*$B$6/12,2)</x:f>
        <x:v>2400.79</x:v>
      </x:c>
      <x:c r="F89" s="7" t="n">
        <x:f>ROUND(D89-E89,2)</x:f>
        <x:v>750.38</x:v>
      </x:c>
      <x:c r="G89" s="7" t="n">
        <x:f>ROUND(C89-F89,2)</x:f>
        <x:v>471535.35</x:v>
      </x:c>
      <x:c r="H89" s="7" t="n">
        <x:f>ROUND(D89-E89-F89,2)</x:f>
        <x:v>0</x:v>
      </x:c>
      <x:c r="I89" s="1" t="str">
        <x:v>Projection</x:v>
      </x:c>
    </x:row>
    <x:row r="90" ht="21" customHeight="1">
      <x:c r="A90" s="1" t="n">
        <x:v>79</x:v>
      </x:c>
      <x:c r="B90" s="6" t="n">
        <x:v>48244</x:v>
      </x:c>
      <x:c r="C90" s="7" t="n">
        <x:f>G89</x:f>
        <x:v>471535.35</x:v>
      </x:c>
      <x:c r="D90" s="7" t="n">
        <x:f>IF(A90=$B$7,ROUND(C90+E90,2),MIN($B$8,ROUND(C90+E90,2)))</x:f>
        <x:v>3151.17</x:v>
      </x:c>
      <x:c r="E90" s="7" t="n">
        <x:f>ROUND(C90*$B$6/12,2)</x:f>
        <x:v>2396.97</x:v>
      </x:c>
      <x:c r="F90" s="7" t="n">
        <x:f>ROUND(D90-E90,2)</x:f>
        <x:v>754.2</x:v>
      </x:c>
      <x:c r="G90" s="7" t="n">
        <x:f>ROUND(C90-F90,2)</x:f>
        <x:v>470781.15</x:v>
      </x:c>
      <x:c r="H90" s="7" t="n">
        <x:f>ROUND(D90-E90-F90,2)</x:f>
        <x:v>0</x:v>
      </x:c>
      <x:c r="I90" s="1" t="str">
        <x:v>Projection</x:v>
      </x:c>
    </x:row>
    <x:row r="91" ht="21" customHeight="1">
      <x:c r="A91" s="1" t="n">
        <x:v>80</x:v>
      </x:c>
      <x:c r="B91" s="6" t="n">
        <x:v>48273</x:v>
      </x:c>
      <x:c r="C91" s="7" t="n">
        <x:f>G90</x:f>
        <x:v>470781.15</x:v>
      </x:c>
      <x:c r="D91" s="7" t="n">
        <x:f>IF(A91=$B$7,ROUND(C91+E91,2),MIN($B$8,ROUND(C91+E91,2)))</x:f>
        <x:v>3151.17</x:v>
      </x:c>
      <x:c r="E91" s="7" t="n">
        <x:f>ROUND(C91*$B$6/12,2)</x:f>
        <x:v>2393.14</x:v>
      </x:c>
      <x:c r="F91" s="7" t="n">
        <x:f>ROUND(D91-E91,2)</x:f>
        <x:v>758.03</x:v>
      </x:c>
      <x:c r="G91" s="7" t="n">
        <x:f>ROUND(C91-F91,2)</x:f>
        <x:v>470023.12</x:v>
      </x:c>
      <x:c r="H91" s="7" t="n">
        <x:f>ROUND(D91-E91-F91,2)</x:f>
        <x:v>0</x:v>
      </x:c>
      <x:c r="I91" s="1" t="str">
        <x:v>Projection</x:v>
      </x:c>
    </x:row>
    <x:row r="92" ht="21" customHeight="1">
      <x:c r="A92" s="1" t="n">
        <x:v>81</x:v>
      </x:c>
      <x:c r="B92" s="6" t="n">
        <x:v>48304</x:v>
      </x:c>
      <x:c r="C92" s="7" t="n">
        <x:f>G91</x:f>
        <x:v>470023.12</x:v>
      </x:c>
      <x:c r="D92" s="7" t="n">
        <x:f>IF(A92=$B$7,ROUND(C92+E92,2),MIN($B$8,ROUND(C92+E92,2)))</x:f>
        <x:v>3151.17</x:v>
      </x:c>
      <x:c r="E92" s="7" t="n">
        <x:f>ROUND(C92*$B$6/12,2)</x:f>
        <x:v>2389.28</x:v>
      </x:c>
      <x:c r="F92" s="7" t="n">
        <x:f>ROUND(D92-E92,2)</x:f>
        <x:v>761.89</x:v>
      </x:c>
      <x:c r="G92" s="7" t="n">
        <x:f>ROUND(C92-F92,2)</x:f>
        <x:v>469261.23</x:v>
      </x:c>
      <x:c r="H92" s="7" t="n">
        <x:f>ROUND(D92-E92-F92,2)</x:f>
        <x:v>0</x:v>
      </x:c>
      <x:c r="I92" s="1" t="str">
        <x:v>Projection</x:v>
      </x:c>
    </x:row>
    <x:row r="93" ht="21" customHeight="1">
      <x:c r="A93" s="1" t="n">
        <x:v>82</x:v>
      </x:c>
      <x:c r="B93" s="6" t="n">
        <x:v>48334</x:v>
      </x:c>
      <x:c r="C93" s="7" t="n">
        <x:f>G92</x:f>
        <x:v>469261.23</x:v>
      </x:c>
      <x:c r="D93" s="7" t="n">
        <x:f>IF(A93=$B$7,ROUND(C93+E93,2),MIN($B$8,ROUND(C93+E93,2)))</x:f>
        <x:v>3151.17</x:v>
      </x:c>
      <x:c r="E93" s="7" t="n">
        <x:f>ROUND(C93*$B$6/12,2)</x:f>
        <x:v>2385.41</x:v>
      </x:c>
      <x:c r="F93" s="7" t="n">
        <x:f>ROUND(D93-E93,2)</x:f>
        <x:v>765.76</x:v>
      </x:c>
      <x:c r="G93" s="7" t="n">
        <x:f>ROUND(C93-F93,2)</x:f>
        <x:v>468495.47</x:v>
      </x:c>
      <x:c r="H93" s="7" t="n">
        <x:f>ROUND(D93-E93-F93,2)</x:f>
        <x:v>0</x:v>
      </x:c>
      <x:c r="I93" s="1" t="str">
        <x:v>Projection</x:v>
      </x:c>
    </x:row>
    <x:row r="94" ht="21" customHeight="1">
      <x:c r="A94" s="1" t="n">
        <x:v>83</x:v>
      </x:c>
      <x:c r="B94" s="6" t="n">
        <x:v>48365</x:v>
      </x:c>
      <x:c r="C94" s="7" t="n">
        <x:f>G93</x:f>
        <x:v>468495.47</x:v>
      </x:c>
      <x:c r="D94" s="7" t="n">
        <x:f>IF(A94=$B$7,ROUND(C94+E94,2),MIN($B$8,ROUND(C94+E94,2)))</x:f>
        <x:v>3151.17</x:v>
      </x:c>
      <x:c r="E94" s="7" t="n">
        <x:f>ROUND(C94*$B$6/12,2)</x:f>
        <x:v>2381.52</x:v>
      </x:c>
      <x:c r="F94" s="7" t="n">
        <x:f>ROUND(D94-E94,2)</x:f>
        <x:v>769.65</x:v>
      </x:c>
      <x:c r="G94" s="7" t="n">
        <x:f>ROUND(C94-F94,2)</x:f>
        <x:v>467725.82</x:v>
      </x:c>
      <x:c r="H94" s="7" t="n">
        <x:f>ROUND(D94-E94-F94,2)</x:f>
        <x:v>0</x:v>
      </x:c>
      <x:c r="I94" s="1" t="str">
        <x:v>Projection</x:v>
      </x:c>
    </x:row>
    <x:row r="95" ht="21" customHeight="1">
      <x:c r="A95" s="1" t="n">
        <x:v>84</x:v>
      </x:c>
      <x:c r="B95" s="6" t="n">
        <x:v>48395</x:v>
      </x:c>
      <x:c r="C95" s="7" t="n">
        <x:f>G94</x:f>
        <x:v>467725.82</x:v>
      </x:c>
      <x:c r="D95" s="7" t="n">
        <x:f>IF(A95=$B$7,ROUND(C95+E95,2),MIN($B$8,ROUND(C95+E95,2)))</x:f>
        <x:v>3151.17</x:v>
      </x:c>
      <x:c r="E95" s="7" t="n">
        <x:f>ROUND(C95*$B$6/12,2)</x:f>
        <x:v>2377.61</x:v>
      </x:c>
      <x:c r="F95" s="7" t="n">
        <x:f>ROUND(D95-E95,2)</x:f>
        <x:v>773.56</x:v>
      </x:c>
      <x:c r="G95" s="7" t="n">
        <x:f>ROUND(C95-F95,2)</x:f>
        <x:v>466952.26</x:v>
      </x:c>
      <x:c r="H95" s="7" t="n">
        <x:f>ROUND(D95-E95-F95,2)</x:f>
        <x:v>0</x:v>
      </x:c>
      <x:c r="I95" s="1" t="str">
        <x:v>Projection</x:v>
      </x:c>
    </x:row>
    <x:row r="96" ht="21" customHeight="1">
      <x:c r="A96" s="1" t="n">
        <x:v>85</x:v>
      </x:c>
      <x:c r="B96" s="6" t="n">
        <x:v>48426</x:v>
      </x:c>
      <x:c r="C96" s="7" t="n">
        <x:f>G95</x:f>
        <x:v>466952.26</x:v>
      </x:c>
      <x:c r="D96" s="7" t="n">
        <x:f>IF(A96=$B$7,ROUND(C96+E96,2),MIN($B$8,ROUND(C96+E96,2)))</x:f>
        <x:v>3151.17</x:v>
      </x:c>
      <x:c r="E96" s="7" t="n">
        <x:f>ROUND(C96*$B$6/12,2)</x:f>
        <x:v>2373.67</x:v>
      </x:c>
      <x:c r="F96" s="7" t="n">
        <x:f>ROUND(D96-E96,2)</x:f>
        <x:v>777.5</x:v>
      </x:c>
      <x:c r="G96" s="7" t="n">
        <x:f>ROUND(C96-F96,2)</x:f>
        <x:v>466174.76</x:v>
      </x:c>
      <x:c r="H96" s="7" t="n">
        <x:f>ROUND(D96-E96-F96,2)</x:f>
        <x:v>0</x:v>
      </x:c>
      <x:c r="I96" s="1" t="str">
        <x:v>Projection</x:v>
      </x:c>
    </x:row>
    <x:row r="97" ht="21" customHeight="1">
      <x:c r="A97" s="1" t="n">
        <x:v>86</x:v>
      </x:c>
      <x:c r="B97" s="6" t="n">
        <x:v>48457</x:v>
      </x:c>
      <x:c r="C97" s="7" t="n">
        <x:f>G96</x:f>
        <x:v>466174.76</x:v>
      </x:c>
      <x:c r="D97" s="7" t="n">
        <x:f>IF(A97=$B$7,ROUND(C97+E97,2),MIN($B$8,ROUND(C97+E97,2)))</x:f>
        <x:v>3151.17</x:v>
      </x:c>
      <x:c r="E97" s="7" t="n">
        <x:f>ROUND(C97*$B$6/12,2)</x:f>
        <x:v>2369.72</x:v>
      </x:c>
      <x:c r="F97" s="7" t="n">
        <x:f>ROUND(D97-E97,2)</x:f>
        <x:v>781.45</x:v>
      </x:c>
      <x:c r="G97" s="7" t="n">
        <x:f>ROUND(C97-F97,2)</x:f>
        <x:v>465393.31</x:v>
      </x:c>
      <x:c r="H97" s="7" t="n">
        <x:f>ROUND(D97-E97-F97,2)</x:f>
        <x:v>0</x:v>
      </x:c>
      <x:c r="I97" s="1" t="str">
        <x:v>Projection</x:v>
      </x:c>
    </x:row>
    <x:row r="98" ht="21" customHeight="1">
      <x:c r="A98" s="1" t="n">
        <x:v>87</x:v>
      </x:c>
      <x:c r="B98" s="6" t="n">
        <x:v>48487</x:v>
      </x:c>
      <x:c r="C98" s="7" t="n">
        <x:f>G97</x:f>
        <x:v>465393.31</x:v>
      </x:c>
      <x:c r="D98" s="7" t="n">
        <x:f>IF(A98=$B$7,ROUND(C98+E98,2),MIN($B$8,ROUND(C98+E98,2)))</x:f>
        <x:v>3151.17</x:v>
      </x:c>
      <x:c r="E98" s="7" t="n">
        <x:f>ROUND(C98*$B$6/12,2)</x:f>
        <x:v>2365.75</x:v>
      </x:c>
      <x:c r="F98" s="7" t="n">
        <x:f>ROUND(D98-E98,2)</x:f>
        <x:v>785.42</x:v>
      </x:c>
      <x:c r="G98" s="7" t="n">
        <x:f>ROUND(C98-F98,2)</x:f>
        <x:v>464607.89</x:v>
      </x:c>
      <x:c r="H98" s="7" t="n">
        <x:f>ROUND(D98-E98-F98,2)</x:f>
        <x:v>0</x:v>
      </x:c>
      <x:c r="I98" s="1" t="str">
        <x:v>Projection</x:v>
      </x:c>
    </x:row>
    <x:row r="99" ht="21" customHeight="1">
      <x:c r="A99" s="1" t="n">
        <x:v>88</x:v>
      </x:c>
      <x:c r="B99" s="6" t="n">
        <x:v>48518</x:v>
      </x:c>
      <x:c r="C99" s="7" t="n">
        <x:f>G98</x:f>
        <x:v>464607.89</x:v>
      </x:c>
      <x:c r="D99" s="7" t="n">
        <x:f>IF(A99=$B$7,ROUND(C99+E99,2),MIN($B$8,ROUND(C99+E99,2)))</x:f>
        <x:v>3151.17</x:v>
      </x:c>
      <x:c r="E99" s="7" t="n">
        <x:f>ROUND(C99*$B$6/12,2)</x:f>
        <x:v>2361.76</x:v>
      </x:c>
      <x:c r="F99" s="7" t="n">
        <x:f>ROUND(D99-E99,2)</x:f>
        <x:v>789.41</x:v>
      </x:c>
      <x:c r="G99" s="7" t="n">
        <x:f>ROUND(C99-F99,2)</x:f>
        <x:v>463818.48</x:v>
      </x:c>
      <x:c r="H99" s="7" t="n">
        <x:f>ROUND(D99-E99-F99,2)</x:f>
        <x:v>0</x:v>
      </x:c>
      <x:c r="I99" s="1" t="str">
        <x:v>Projection</x:v>
      </x:c>
    </x:row>
    <x:row r="100" ht="21" customHeight="1">
      <x:c r="A100" s="1" t="n">
        <x:v>89</x:v>
      </x:c>
      <x:c r="B100" s="6" t="n">
        <x:v>48548</x:v>
      </x:c>
      <x:c r="C100" s="7" t="n">
        <x:f>G99</x:f>
        <x:v>463818.48</x:v>
      </x:c>
      <x:c r="D100" s="7" t="n">
        <x:f>IF(A100=$B$7,ROUND(C100+E100,2),MIN($B$8,ROUND(C100+E100,2)))</x:f>
        <x:v>3151.17</x:v>
      </x:c>
      <x:c r="E100" s="7" t="n">
        <x:f>ROUND(C100*$B$6/12,2)</x:f>
        <x:v>2357.74</x:v>
      </x:c>
      <x:c r="F100" s="7" t="n">
        <x:f>ROUND(D100-E100,2)</x:f>
        <x:v>793.43</x:v>
      </x:c>
      <x:c r="G100" s="7" t="n">
        <x:f>ROUND(C100-F100,2)</x:f>
        <x:v>463025.05</x:v>
      </x:c>
      <x:c r="H100" s="7" t="n">
        <x:f>ROUND(D100-E100-F100,2)</x:f>
        <x:v>0</x:v>
      </x:c>
      <x:c r="I100" s="1" t="str">
        <x:v>Projection</x:v>
      </x:c>
    </x:row>
    <x:row r="101" ht="21" customHeight="1">
      <x:c r="A101" s="1" t="n">
        <x:v>90</x:v>
      </x:c>
      <x:c r="B101" s="6" t="n">
        <x:v>48579</x:v>
      </x:c>
      <x:c r="C101" s="7" t="n">
        <x:f>G100</x:f>
        <x:v>463025.05</x:v>
      </x:c>
      <x:c r="D101" s="7" t="n">
        <x:f>IF(A101=$B$7,ROUND(C101+E101,2),MIN($B$8,ROUND(C101+E101,2)))</x:f>
        <x:v>3151.17</x:v>
      </x:c>
      <x:c r="E101" s="7" t="n">
        <x:f>ROUND(C101*$B$6/12,2)</x:f>
        <x:v>2353.71</x:v>
      </x:c>
      <x:c r="F101" s="7" t="n">
        <x:f>ROUND(D101-E101,2)</x:f>
        <x:v>797.46</x:v>
      </x:c>
      <x:c r="G101" s="7" t="n">
        <x:f>ROUND(C101-F101,2)</x:f>
        <x:v>462227.59</x:v>
      </x:c>
      <x:c r="H101" s="7" t="n">
        <x:f>ROUND(D101-E101-F101,2)</x:f>
        <x:v>0</x:v>
      </x:c>
      <x:c r="I101" s="1" t="str">
        <x:v>Projection</x:v>
      </x:c>
    </x:row>
    <x:row r="102" ht="21" customHeight="1">
      <x:c r="A102" s="1" t="n">
        <x:v>91</x:v>
      </x:c>
      <x:c r="B102" s="6" t="n">
        <x:v>48610</x:v>
      </x:c>
      <x:c r="C102" s="7" t="n">
        <x:f>G101</x:f>
        <x:v>462227.59</x:v>
      </x:c>
      <x:c r="D102" s="7" t="n">
        <x:f>IF(A102=$B$7,ROUND(C102+E102,2),MIN($B$8,ROUND(C102+E102,2)))</x:f>
        <x:v>3151.17</x:v>
      </x:c>
      <x:c r="E102" s="7" t="n">
        <x:f>ROUND(C102*$B$6/12,2)</x:f>
        <x:v>2349.66</x:v>
      </x:c>
      <x:c r="F102" s="7" t="n">
        <x:f>ROUND(D102-E102,2)</x:f>
        <x:v>801.51</x:v>
      </x:c>
      <x:c r="G102" s="7" t="n">
        <x:f>ROUND(C102-F102,2)</x:f>
        <x:v>461426.08</x:v>
      </x:c>
      <x:c r="H102" s="7" t="n">
        <x:f>ROUND(D102-E102-F102,2)</x:f>
        <x:v>0</x:v>
      </x:c>
      <x:c r="I102" s="1" t="str">
        <x:v>Projection</x:v>
      </x:c>
    </x:row>
    <x:row r="103" ht="21" customHeight="1">
      <x:c r="A103" s="1" t="n">
        <x:v>92</x:v>
      </x:c>
      <x:c r="B103" s="6" t="n">
        <x:v>48638</x:v>
      </x:c>
      <x:c r="C103" s="7" t="n">
        <x:f>G102</x:f>
        <x:v>461426.08</x:v>
      </x:c>
      <x:c r="D103" s="7" t="n">
        <x:f>IF(A103=$B$7,ROUND(C103+E103,2),MIN($B$8,ROUND(C103+E103,2)))</x:f>
        <x:v>3151.17</x:v>
      </x:c>
      <x:c r="E103" s="7" t="n">
        <x:f>ROUND(C103*$B$6/12,2)</x:f>
        <x:v>2345.58</x:v>
      </x:c>
      <x:c r="F103" s="7" t="n">
        <x:f>ROUND(D103-E103,2)</x:f>
        <x:v>805.59</x:v>
      </x:c>
      <x:c r="G103" s="7" t="n">
        <x:f>ROUND(C103-F103,2)</x:f>
        <x:v>460620.49</x:v>
      </x:c>
      <x:c r="H103" s="7" t="n">
        <x:f>ROUND(D103-E103-F103,2)</x:f>
        <x:v>0</x:v>
      </x:c>
      <x:c r="I103" s="1" t="str">
        <x:v>Projection</x:v>
      </x:c>
    </x:row>
    <x:row r="104" ht="21" customHeight="1">
      <x:c r="A104" s="1" t="n">
        <x:v>93</x:v>
      </x:c>
      <x:c r="B104" s="6" t="n">
        <x:v>48669</x:v>
      </x:c>
      <x:c r="C104" s="7" t="n">
        <x:f>G103</x:f>
        <x:v>460620.49</x:v>
      </x:c>
      <x:c r="D104" s="7" t="n">
        <x:f>IF(A104=$B$7,ROUND(C104+E104,2),MIN($B$8,ROUND(C104+E104,2)))</x:f>
        <x:v>3151.17</x:v>
      </x:c>
      <x:c r="E104" s="7" t="n">
        <x:f>ROUND(C104*$B$6/12,2)</x:f>
        <x:v>2341.49</x:v>
      </x:c>
      <x:c r="F104" s="7" t="n">
        <x:f>ROUND(D104-E104,2)</x:f>
        <x:v>809.68</x:v>
      </x:c>
      <x:c r="G104" s="7" t="n">
        <x:f>ROUND(C104-F104,2)</x:f>
        <x:v>459810.81</x:v>
      </x:c>
      <x:c r="H104" s="7" t="n">
        <x:f>ROUND(D104-E104-F104,2)</x:f>
        <x:v>0</x:v>
      </x:c>
      <x:c r="I104" s="1" t="str">
        <x:v>Projection</x:v>
      </x:c>
    </x:row>
    <x:row r="105" ht="21" customHeight="1">
      <x:c r="A105" s="1" t="n">
        <x:v>94</x:v>
      </x:c>
      <x:c r="B105" s="6" t="n">
        <x:v>48699</x:v>
      </x:c>
      <x:c r="C105" s="7" t="n">
        <x:f>G104</x:f>
        <x:v>459810.81</x:v>
      </x:c>
      <x:c r="D105" s="7" t="n">
        <x:f>IF(A105=$B$7,ROUND(C105+E105,2),MIN($B$8,ROUND(C105+E105,2)))</x:f>
        <x:v>3151.17</x:v>
      </x:c>
      <x:c r="E105" s="7" t="n">
        <x:f>ROUND(C105*$B$6/12,2)</x:f>
        <x:v>2337.37</x:v>
      </x:c>
      <x:c r="F105" s="7" t="n">
        <x:f>ROUND(D105-E105,2)</x:f>
        <x:v>813.8</x:v>
      </x:c>
      <x:c r="G105" s="7" t="n">
        <x:f>ROUND(C105-F105,2)</x:f>
        <x:v>458997.01</x:v>
      </x:c>
      <x:c r="H105" s="7" t="n">
        <x:f>ROUND(D105-E105-F105,2)</x:f>
        <x:v>0</x:v>
      </x:c>
      <x:c r="I105" s="1" t="str">
        <x:v>Projection</x:v>
      </x:c>
    </x:row>
    <x:row r="106" ht="21" customHeight="1">
      <x:c r="A106" s="1" t="n">
        <x:v>95</x:v>
      </x:c>
      <x:c r="B106" s="6" t="n">
        <x:v>48730</x:v>
      </x:c>
      <x:c r="C106" s="7" t="n">
        <x:f>G105</x:f>
        <x:v>458997.01</x:v>
      </x:c>
      <x:c r="D106" s="7" t="n">
        <x:f>IF(A106=$B$7,ROUND(C106+E106,2),MIN($B$8,ROUND(C106+E106,2)))</x:f>
        <x:v>3151.17</x:v>
      </x:c>
      <x:c r="E106" s="7" t="n">
        <x:f>ROUND(C106*$B$6/12,2)</x:f>
        <x:v>2333.23</x:v>
      </x:c>
      <x:c r="F106" s="7" t="n">
        <x:f>ROUND(D106-E106,2)</x:f>
        <x:v>817.94</x:v>
      </x:c>
      <x:c r="G106" s="7" t="n">
        <x:f>ROUND(C106-F106,2)</x:f>
        <x:v>458179.07</x:v>
      </x:c>
      <x:c r="H106" s="7" t="n">
        <x:f>ROUND(D106-E106-F106,2)</x:f>
        <x:v>0</x:v>
      </x:c>
      <x:c r="I106" s="1" t="str">
        <x:v>Projection</x:v>
      </x:c>
    </x:row>
    <x:row r="107" ht="21" customHeight="1">
      <x:c r="A107" s="1" t="n">
        <x:v>96</x:v>
      </x:c>
      <x:c r="B107" s="6" t="n">
        <x:v>48760</x:v>
      </x:c>
      <x:c r="C107" s="7" t="n">
        <x:f>G106</x:f>
        <x:v>458179.07</x:v>
      </x:c>
      <x:c r="D107" s="7" t="n">
        <x:f>IF(A107=$B$7,ROUND(C107+E107,2),MIN($B$8,ROUND(C107+E107,2)))</x:f>
        <x:v>3151.17</x:v>
      </x:c>
      <x:c r="E107" s="7" t="n">
        <x:f>ROUND(C107*$B$6/12,2)</x:f>
        <x:v>2329.08</x:v>
      </x:c>
      <x:c r="F107" s="7" t="n">
        <x:f>ROUND(D107-E107,2)</x:f>
        <x:v>822.09</x:v>
      </x:c>
      <x:c r="G107" s="7" t="n">
        <x:f>ROUND(C107-F107,2)</x:f>
        <x:v>457356.98</x:v>
      </x:c>
      <x:c r="H107" s="7" t="n">
        <x:f>ROUND(D107-E107-F107,2)</x:f>
        <x:v>0</x:v>
      </x:c>
      <x:c r="I107" s="1" t="str">
        <x:v>Projection</x:v>
      </x:c>
    </x:row>
    <x:row r="108" ht="21" customHeight="1">
      <x:c r="A108" s="1" t="n">
        <x:v>97</x:v>
      </x:c>
      <x:c r="B108" s="6" t="n">
        <x:v>48791</x:v>
      </x:c>
      <x:c r="C108" s="7" t="n">
        <x:f>G107</x:f>
        <x:v>457356.98</x:v>
      </x:c>
      <x:c r="D108" s="7" t="n">
        <x:f>IF(A108=$B$7,ROUND(C108+E108,2),MIN($B$8,ROUND(C108+E108,2)))</x:f>
        <x:v>3151.17</x:v>
      </x:c>
      <x:c r="E108" s="7" t="n">
        <x:f>ROUND(C108*$B$6/12,2)</x:f>
        <x:v>2324.9</x:v>
      </x:c>
      <x:c r="F108" s="7" t="n">
        <x:f>ROUND(D108-E108,2)</x:f>
        <x:v>826.27</x:v>
      </x:c>
      <x:c r="G108" s="7" t="n">
        <x:f>ROUND(C108-F108,2)</x:f>
        <x:v>456530.71</x:v>
      </x:c>
      <x:c r="H108" s="7" t="n">
        <x:f>ROUND(D108-E108-F108,2)</x:f>
        <x:v>0</x:v>
      </x:c>
      <x:c r="I108" s="1" t="str">
        <x:v>Projection</x:v>
      </x:c>
    </x:row>
    <x:row r="109" ht="21" customHeight="1">
      <x:c r="A109" s="1" t="n">
        <x:v>98</x:v>
      </x:c>
      <x:c r="B109" s="6" t="n">
        <x:v>48822</x:v>
      </x:c>
      <x:c r="C109" s="7" t="n">
        <x:f>G108</x:f>
        <x:v>456530.71</x:v>
      </x:c>
      <x:c r="D109" s="7" t="n">
        <x:f>IF(A109=$B$7,ROUND(C109+E109,2),MIN($B$8,ROUND(C109+E109,2)))</x:f>
        <x:v>3151.17</x:v>
      </x:c>
      <x:c r="E109" s="7" t="n">
        <x:f>ROUND(C109*$B$6/12,2)</x:f>
        <x:v>2320.7</x:v>
      </x:c>
      <x:c r="F109" s="7" t="n">
        <x:f>ROUND(D109-E109,2)</x:f>
        <x:v>830.47</x:v>
      </x:c>
      <x:c r="G109" s="7" t="n">
        <x:f>ROUND(C109-F109,2)</x:f>
        <x:v>455700.24</x:v>
      </x:c>
      <x:c r="H109" s="7" t="n">
        <x:f>ROUND(D109-E109-F109,2)</x:f>
        <x:v>0</x:v>
      </x:c>
      <x:c r="I109" s="1" t="str">
        <x:v>Projection</x:v>
      </x:c>
    </x:row>
    <x:row r="110" ht="21" customHeight="1">
      <x:c r="A110" s="1" t="n">
        <x:v>99</x:v>
      </x:c>
      <x:c r="B110" s="6" t="n">
        <x:v>48852</x:v>
      </x:c>
      <x:c r="C110" s="7" t="n">
        <x:f>G109</x:f>
        <x:v>455700.24</x:v>
      </x:c>
      <x:c r="D110" s="7" t="n">
        <x:f>IF(A110=$B$7,ROUND(C110+E110,2),MIN($B$8,ROUND(C110+E110,2)))</x:f>
        <x:v>3151.17</x:v>
      </x:c>
      <x:c r="E110" s="7" t="n">
        <x:f>ROUND(C110*$B$6/12,2)</x:f>
        <x:v>2316.48</x:v>
      </x:c>
      <x:c r="F110" s="7" t="n">
        <x:f>ROUND(D110-E110,2)</x:f>
        <x:v>834.69</x:v>
      </x:c>
      <x:c r="G110" s="7" t="n">
        <x:f>ROUND(C110-F110,2)</x:f>
        <x:v>454865.55</x:v>
      </x:c>
      <x:c r="H110" s="7" t="n">
        <x:f>ROUND(D110-E110-F110,2)</x:f>
        <x:v>0</x:v>
      </x:c>
      <x:c r="I110" s="1" t="str">
        <x:v>Projection</x:v>
      </x:c>
    </x:row>
    <x:row r="111" ht="21" customHeight="1">
      <x:c r="A111" s="1" t="n">
        <x:v>100</x:v>
      </x:c>
      <x:c r="B111" s="6" t="n">
        <x:v>48883</x:v>
      </x:c>
      <x:c r="C111" s="7" t="n">
        <x:f>G110</x:f>
        <x:v>454865.55</x:v>
      </x:c>
      <x:c r="D111" s="7" t="n">
        <x:f>IF(A111=$B$7,ROUND(C111+E111,2),MIN($B$8,ROUND(C111+E111,2)))</x:f>
        <x:v>3151.17</x:v>
      </x:c>
      <x:c r="E111" s="7" t="n">
        <x:f>ROUND(C111*$B$6/12,2)</x:f>
        <x:v>2312.23</x:v>
      </x:c>
      <x:c r="F111" s="7" t="n">
        <x:f>ROUND(D111-E111,2)</x:f>
        <x:v>838.94</x:v>
      </x:c>
      <x:c r="G111" s="7" t="n">
        <x:f>ROUND(C111-F111,2)</x:f>
        <x:v>454026.61</x:v>
      </x:c>
      <x:c r="H111" s="7" t="n">
        <x:f>ROUND(D111-E111-F111,2)</x:f>
        <x:v>0</x:v>
      </x:c>
      <x:c r="I111" s="1" t="str">
        <x:v>Projection</x:v>
      </x:c>
    </x:row>
    <x:row r="112" ht="21" customHeight="1">
      <x:c r="A112" s="1" t="n">
        <x:v>101</x:v>
      </x:c>
      <x:c r="B112" s="6" t="n">
        <x:v>48913</x:v>
      </x:c>
      <x:c r="C112" s="7" t="n">
        <x:f>G111</x:f>
        <x:v>454026.61</x:v>
      </x:c>
      <x:c r="D112" s="7" t="n">
        <x:f>IF(A112=$B$7,ROUND(C112+E112,2),MIN($B$8,ROUND(C112+E112,2)))</x:f>
        <x:v>3151.17</x:v>
      </x:c>
      <x:c r="E112" s="7" t="n">
        <x:f>ROUND(C112*$B$6/12,2)</x:f>
        <x:v>2307.97</x:v>
      </x:c>
      <x:c r="F112" s="7" t="n">
        <x:f>ROUND(D112-E112,2)</x:f>
        <x:v>843.2</x:v>
      </x:c>
      <x:c r="G112" s="7" t="n">
        <x:f>ROUND(C112-F112,2)</x:f>
        <x:v>453183.41</x:v>
      </x:c>
      <x:c r="H112" s="7" t="n">
        <x:f>ROUND(D112-E112-F112,2)</x:f>
        <x:v>0</x:v>
      </x:c>
      <x:c r="I112" s="1" t="str">
        <x:v>Projection</x:v>
      </x:c>
    </x:row>
    <x:row r="113" ht="21" customHeight="1">
      <x:c r="A113" s="1" t="n">
        <x:v>102</x:v>
      </x:c>
      <x:c r="B113" s="6" t="n">
        <x:v>48944</x:v>
      </x:c>
      <x:c r="C113" s="7" t="n">
        <x:f>G112</x:f>
        <x:v>453183.41</x:v>
      </x:c>
      <x:c r="D113" s="7" t="n">
        <x:f>IF(A113=$B$7,ROUND(C113+E113,2),MIN($B$8,ROUND(C113+E113,2)))</x:f>
        <x:v>3151.17</x:v>
      </x:c>
      <x:c r="E113" s="7" t="n">
        <x:f>ROUND(C113*$B$6/12,2)</x:f>
        <x:v>2303.68</x:v>
      </x:c>
      <x:c r="F113" s="7" t="n">
        <x:f>ROUND(D113-E113,2)</x:f>
        <x:v>847.49</x:v>
      </x:c>
      <x:c r="G113" s="7" t="n">
        <x:f>ROUND(C113-F113,2)</x:f>
        <x:v>452335.92</x:v>
      </x:c>
      <x:c r="H113" s="7" t="n">
        <x:f>ROUND(D113-E113-F113,2)</x:f>
        <x:v>0</x:v>
      </x:c>
      <x:c r="I113" s="1" t="str">
        <x:v>Projection</x:v>
      </x:c>
    </x:row>
    <x:row r="114" ht="21" customHeight="1">
      <x:c r="A114" s="1" t="n">
        <x:v>103</x:v>
      </x:c>
      <x:c r="B114" s="6" t="n">
        <x:v>48975</x:v>
      </x:c>
      <x:c r="C114" s="7" t="n">
        <x:f>G113</x:f>
        <x:v>452335.92</x:v>
      </x:c>
      <x:c r="D114" s="7" t="n">
        <x:f>IF(A114=$B$7,ROUND(C114+E114,2),MIN($B$8,ROUND(C114+E114,2)))</x:f>
        <x:v>3151.17</x:v>
      </x:c>
      <x:c r="E114" s="7" t="n">
        <x:f>ROUND(C114*$B$6/12,2)</x:f>
        <x:v>2299.37</x:v>
      </x:c>
      <x:c r="F114" s="7" t="n">
        <x:f>ROUND(D114-E114,2)</x:f>
        <x:v>851.8</x:v>
      </x:c>
      <x:c r="G114" s="7" t="n">
        <x:f>ROUND(C114-F114,2)</x:f>
        <x:v>451484.12</x:v>
      </x:c>
      <x:c r="H114" s="7" t="n">
        <x:f>ROUND(D114-E114-F114,2)</x:f>
        <x:v>0</x:v>
      </x:c>
      <x:c r="I114" s="1" t="str">
        <x:v>Projection</x:v>
      </x:c>
    </x:row>
    <x:row r="115" ht="21" customHeight="1">
      <x:c r="A115" s="1" t="n">
        <x:v>104</x:v>
      </x:c>
      <x:c r="B115" s="6" t="n">
        <x:v>49003</x:v>
      </x:c>
      <x:c r="C115" s="7" t="n">
        <x:f>G114</x:f>
        <x:v>451484.12</x:v>
      </x:c>
      <x:c r="D115" s="7" t="n">
        <x:f>IF(A115=$B$7,ROUND(C115+E115,2),MIN($B$8,ROUND(C115+E115,2)))</x:f>
        <x:v>3151.17</x:v>
      </x:c>
      <x:c r="E115" s="7" t="n">
        <x:f>ROUND(C115*$B$6/12,2)</x:f>
        <x:v>2295.04</x:v>
      </x:c>
      <x:c r="F115" s="7" t="n">
        <x:f>ROUND(D115-E115,2)</x:f>
        <x:v>856.13</x:v>
      </x:c>
      <x:c r="G115" s="7" t="n">
        <x:f>ROUND(C115-F115,2)</x:f>
        <x:v>450627.99</x:v>
      </x:c>
      <x:c r="H115" s="7" t="n">
        <x:f>ROUND(D115-E115-F115,2)</x:f>
        <x:v>0</x:v>
      </x:c>
      <x:c r="I115" s="1" t="str">
        <x:v>Projection</x:v>
      </x:c>
    </x:row>
    <x:row r="116" ht="21" customHeight="1">
      <x:c r="A116" s="1" t="n">
        <x:v>105</x:v>
      </x:c>
      <x:c r="B116" s="6" t="n">
        <x:v>49034</x:v>
      </x:c>
      <x:c r="C116" s="7" t="n">
        <x:f>G115</x:f>
        <x:v>450627.99</x:v>
      </x:c>
      <x:c r="D116" s="7" t="n">
        <x:f>IF(A116=$B$7,ROUND(C116+E116,2),MIN($B$8,ROUND(C116+E116,2)))</x:f>
        <x:v>3151.17</x:v>
      </x:c>
      <x:c r="E116" s="7" t="n">
        <x:f>ROUND(C116*$B$6/12,2)</x:f>
        <x:v>2290.69</x:v>
      </x:c>
      <x:c r="F116" s="7" t="n">
        <x:f>ROUND(D116-E116,2)</x:f>
        <x:v>860.48</x:v>
      </x:c>
      <x:c r="G116" s="7" t="n">
        <x:f>ROUND(C116-F116,2)</x:f>
        <x:v>449767.51</x:v>
      </x:c>
      <x:c r="H116" s="7" t="n">
        <x:f>ROUND(D116-E116-F116,2)</x:f>
        <x:v>0</x:v>
      </x:c>
      <x:c r="I116" s="1" t="str">
        <x:v>Projection</x:v>
      </x:c>
    </x:row>
    <x:row r="117" ht="21" customHeight="1">
      <x:c r="A117" s="1" t="n">
        <x:v>106</x:v>
      </x:c>
      <x:c r="B117" s="6" t="n">
        <x:v>49064</x:v>
      </x:c>
      <x:c r="C117" s="7" t="n">
        <x:f>G116</x:f>
        <x:v>449767.51</x:v>
      </x:c>
      <x:c r="D117" s="7" t="n">
        <x:f>IF(A117=$B$7,ROUND(C117+E117,2),MIN($B$8,ROUND(C117+E117,2)))</x:f>
        <x:v>3151.17</x:v>
      </x:c>
      <x:c r="E117" s="7" t="n">
        <x:f>ROUND(C117*$B$6/12,2)</x:f>
        <x:v>2286.32</x:v>
      </x:c>
      <x:c r="F117" s="7" t="n">
        <x:f>ROUND(D117-E117,2)</x:f>
        <x:v>864.85</x:v>
      </x:c>
      <x:c r="G117" s="7" t="n">
        <x:f>ROUND(C117-F117,2)</x:f>
        <x:v>448902.66</x:v>
      </x:c>
      <x:c r="H117" s="7" t="n">
        <x:f>ROUND(D117-E117-F117,2)</x:f>
        <x:v>0</x:v>
      </x:c>
      <x:c r="I117" s="1" t="str">
        <x:v>Projection</x:v>
      </x:c>
    </x:row>
    <x:row r="118" ht="21" customHeight="1">
      <x:c r="A118" s="1" t="n">
        <x:v>107</x:v>
      </x:c>
      <x:c r="B118" s="6" t="n">
        <x:v>49095</x:v>
      </x:c>
      <x:c r="C118" s="7" t="n">
        <x:f>G117</x:f>
        <x:v>448902.66</x:v>
      </x:c>
      <x:c r="D118" s="7" t="n">
        <x:f>IF(A118=$B$7,ROUND(C118+E118,2),MIN($B$8,ROUND(C118+E118,2)))</x:f>
        <x:v>3151.17</x:v>
      </x:c>
      <x:c r="E118" s="7" t="n">
        <x:f>ROUND(C118*$B$6/12,2)</x:f>
        <x:v>2281.92</x:v>
      </x:c>
      <x:c r="F118" s="7" t="n">
        <x:f>ROUND(D118-E118,2)</x:f>
        <x:v>869.25</x:v>
      </x:c>
      <x:c r="G118" s="7" t="n">
        <x:f>ROUND(C118-F118,2)</x:f>
        <x:v>448033.41</x:v>
      </x:c>
      <x:c r="H118" s="7" t="n">
        <x:f>ROUND(D118-E118-F118,2)</x:f>
        <x:v>0</x:v>
      </x:c>
      <x:c r="I118" s="1" t="str">
        <x:v>Projection</x:v>
      </x:c>
    </x:row>
    <x:row r="119" ht="21" customHeight="1">
      <x:c r="A119" s="1" t="n">
        <x:v>108</x:v>
      </x:c>
      <x:c r="B119" s="6" t="n">
        <x:v>49125</x:v>
      </x:c>
      <x:c r="C119" s="7" t="n">
        <x:f>G118</x:f>
        <x:v>448033.41</x:v>
      </x:c>
      <x:c r="D119" s="7" t="n">
        <x:f>IF(A119=$B$7,ROUND(C119+E119,2),MIN($B$8,ROUND(C119+E119,2)))</x:f>
        <x:v>3151.17</x:v>
      </x:c>
      <x:c r="E119" s="7" t="n">
        <x:f>ROUND(C119*$B$6/12,2)</x:f>
        <x:v>2277.5</x:v>
      </x:c>
      <x:c r="F119" s="7" t="n">
        <x:f>ROUND(D119-E119,2)</x:f>
        <x:v>873.67</x:v>
      </x:c>
      <x:c r="G119" s="7" t="n">
        <x:f>ROUND(C119-F119,2)</x:f>
        <x:v>447159.74</x:v>
      </x:c>
      <x:c r="H119" s="7" t="n">
        <x:f>ROUND(D119-E119-F119,2)</x:f>
        <x:v>0</x:v>
      </x:c>
      <x:c r="I119" s="1" t="str">
        <x:v>Projection</x:v>
      </x:c>
    </x:row>
    <x:row r="120" ht="21" customHeight="1">
      <x:c r="A120" s="1" t="n">
        <x:v>109</x:v>
      </x:c>
      <x:c r="B120" s="6" t="n">
        <x:v>49156</x:v>
      </x:c>
      <x:c r="C120" s="7" t="n">
        <x:f>G119</x:f>
        <x:v>447159.74</x:v>
      </x:c>
      <x:c r="D120" s="7" t="n">
        <x:f>IF(A120=$B$7,ROUND(C120+E120,2),MIN($B$8,ROUND(C120+E120,2)))</x:f>
        <x:v>3151.17</x:v>
      </x:c>
      <x:c r="E120" s="7" t="n">
        <x:f>ROUND(C120*$B$6/12,2)</x:f>
        <x:v>2273.06</x:v>
      </x:c>
      <x:c r="F120" s="7" t="n">
        <x:f>ROUND(D120-E120,2)</x:f>
        <x:v>878.11</x:v>
      </x:c>
      <x:c r="G120" s="7" t="n">
        <x:f>ROUND(C120-F120,2)</x:f>
        <x:v>446281.63</x:v>
      </x:c>
      <x:c r="H120" s="7" t="n">
        <x:f>ROUND(D120-E120-F120,2)</x:f>
        <x:v>0</x:v>
      </x:c>
      <x:c r="I120" s="1" t="str">
        <x:v>Projection</x:v>
      </x:c>
    </x:row>
    <x:row r="121" ht="21" customHeight="1">
      <x:c r="A121" s="1" t="n">
        <x:v>110</x:v>
      </x:c>
      <x:c r="B121" s="6" t="n">
        <x:v>49187</x:v>
      </x:c>
      <x:c r="C121" s="7" t="n">
        <x:f>G120</x:f>
        <x:v>446281.63</x:v>
      </x:c>
      <x:c r="D121" s="7" t="n">
        <x:f>IF(A121=$B$7,ROUND(C121+E121,2),MIN($B$8,ROUND(C121+E121,2)))</x:f>
        <x:v>3151.17</x:v>
      </x:c>
      <x:c r="E121" s="7" t="n">
        <x:f>ROUND(C121*$B$6/12,2)</x:f>
        <x:v>2268.6</x:v>
      </x:c>
      <x:c r="F121" s="7" t="n">
        <x:f>ROUND(D121-E121,2)</x:f>
        <x:v>882.57</x:v>
      </x:c>
      <x:c r="G121" s="7" t="n">
        <x:f>ROUND(C121-F121,2)</x:f>
        <x:v>445399.06</x:v>
      </x:c>
      <x:c r="H121" s="7" t="n">
        <x:f>ROUND(D121-E121-F121,2)</x:f>
        <x:v>0</x:v>
      </x:c>
      <x:c r="I121" s="1" t="str">
        <x:v>Projection</x:v>
      </x:c>
    </x:row>
    <x:row r="122" ht="21" customHeight="1">
      <x:c r="A122" s="1" t="n">
        <x:v>111</x:v>
      </x:c>
      <x:c r="B122" s="6" t="n">
        <x:v>49217</x:v>
      </x:c>
      <x:c r="C122" s="7" t="n">
        <x:f>G121</x:f>
        <x:v>445399.06</x:v>
      </x:c>
      <x:c r="D122" s="7" t="n">
        <x:f>IF(A122=$B$7,ROUND(C122+E122,2),MIN($B$8,ROUND(C122+E122,2)))</x:f>
        <x:v>3151.17</x:v>
      </x:c>
      <x:c r="E122" s="7" t="n">
        <x:f>ROUND(C122*$B$6/12,2)</x:f>
        <x:v>2264.11</x:v>
      </x:c>
      <x:c r="F122" s="7" t="n">
        <x:f>ROUND(D122-E122,2)</x:f>
        <x:v>887.06</x:v>
      </x:c>
      <x:c r="G122" s="7" t="n">
        <x:f>ROUND(C122-F122,2)</x:f>
        <x:v>444512</x:v>
      </x:c>
      <x:c r="H122" s="7" t="n">
        <x:f>ROUND(D122-E122-F122,2)</x:f>
        <x:v>0</x:v>
      </x:c>
      <x:c r="I122" s="1" t="str">
        <x:v>Projection</x:v>
      </x:c>
    </x:row>
    <x:row r="123" ht="21" customHeight="1">
      <x:c r="A123" s="1" t="n">
        <x:v>112</x:v>
      </x:c>
      <x:c r="B123" s="6" t="n">
        <x:v>49248</x:v>
      </x:c>
      <x:c r="C123" s="7" t="n">
        <x:f>G122</x:f>
        <x:v>444512</x:v>
      </x:c>
      <x:c r="D123" s="7" t="n">
        <x:f>IF(A123=$B$7,ROUND(C123+E123,2),MIN($B$8,ROUND(C123+E123,2)))</x:f>
        <x:v>3151.17</x:v>
      </x:c>
      <x:c r="E123" s="7" t="n">
        <x:f>ROUND(C123*$B$6/12,2)</x:f>
        <x:v>2259.6</x:v>
      </x:c>
      <x:c r="F123" s="7" t="n">
        <x:f>ROUND(D123-E123,2)</x:f>
        <x:v>891.57</x:v>
      </x:c>
      <x:c r="G123" s="7" t="n">
        <x:f>ROUND(C123-F123,2)</x:f>
        <x:v>443620.43</x:v>
      </x:c>
      <x:c r="H123" s="7" t="n">
        <x:f>ROUND(D123-E123-F123,2)</x:f>
        <x:v>0</x:v>
      </x:c>
      <x:c r="I123" s="1" t="str">
        <x:v>Projection</x:v>
      </x:c>
    </x:row>
    <x:row r="124" ht="21" customHeight="1">
      <x:c r="A124" s="1" t="n">
        <x:v>113</x:v>
      </x:c>
      <x:c r="B124" s="6" t="n">
        <x:v>49278</x:v>
      </x:c>
      <x:c r="C124" s="7" t="n">
        <x:f>G123</x:f>
        <x:v>443620.43</x:v>
      </x:c>
      <x:c r="D124" s="7" t="n">
        <x:f>IF(A124=$B$7,ROUND(C124+E124,2),MIN($B$8,ROUND(C124+E124,2)))</x:f>
        <x:v>3151.17</x:v>
      </x:c>
      <x:c r="E124" s="7" t="n">
        <x:f>ROUND(C124*$B$6/12,2)</x:f>
        <x:v>2255.07</x:v>
      </x:c>
      <x:c r="F124" s="7" t="n">
        <x:f>ROUND(D124-E124,2)</x:f>
        <x:v>896.1</x:v>
      </x:c>
      <x:c r="G124" s="7" t="n">
        <x:f>ROUND(C124-F124,2)</x:f>
        <x:v>442724.33</x:v>
      </x:c>
      <x:c r="H124" s="7" t="n">
        <x:f>ROUND(D124-E124-F124,2)</x:f>
        <x:v>0</x:v>
      </x:c>
      <x:c r="I124" s="1" t="str">
        <x:v>Projection</x:v>
      </x:c>
    </x:row>
    <x:row r="125" ht="21" customHeight="1">
      <x:c r="A125" s="1" t="n">
        <x:v>114</x:v>
      </x:c>
      <x:c r="B125" s="6" t="n">
        <x:v>49309</x:v>
      </x:c>
      <x:c r="C125" s="7" t="n">
        <x:f>G124</x:f>
        <x:v>442724.33</x:v>
      </x:c>
      <x:c r="D125" s="7" t="n">
        <x:f>IF(A125=$B$7,ROUND(C125+E125,2),MIN($B$8,ROUND(C125+E125,2)))</x:f>
        <x:v>3151.17</x:v>
      </x:c>
      <x:c r="E125" s="7" t="n">
        <x:f>ROUND(C125*$B$6/12,2)</x:f>
        <x:v>2250.52</x:v>
      </x:c>
      <x:c r="F125" s="7" t="n">
        <x:f>ROUND(D125-E125,2)</x:f>
        <x:v>900.65</x:v>
      </x:c>
      <x:c r="G125" s="7" t="n">
        <x:f>ROUND(C125-F125,2)</x:f>
        <x:v>441823.68</x:v>
      </x:c>
      <x:c r="H125" s="7" t="n">
        <x:f>ROUND(D125-E125-F125,2)</x:f>
        <x:v>0</x:v>
      </x:c>
      <x:c r="I125" s="1" t="str">
        <x:v>Projection</x:v>
      </x:c>
    </x:row>
    <x:row r="126" ht="21" customHeight="1">
      <x:c r="A126" s="1" t="n">
        <x:v>115</x:v>
      </x:c>
      <x:c r="B126" s="6" t="n">
        <x:v>49340</x:v>
      </x:c>
      <x:c r="C126" s="7" t="n">
        <x:f>G125</x:f>
        <x:v>441823.68</x:v>
      </x:c>
      <x:c r="D126" s="7" t="n">
        <x:f>IF(A126=$B$7,ROUND(C126+E126,2),MIN($B$8,ROUND(C126+E126,2)))</x:f>
        <x:v>3151.17</x:v>
      </x:c>
      <x:c r="E126" s="7" t="n">
        <x:f>ROUND(C126*$B$6/12,2)</x:f>
        <x:v>2245.94</x:v>
      </x:c>
      <x:c r="F126" s="7" t="n">
        <x:f>ROUND(D126-E126,2)</x:f>
        <x:v>905.23</x:v>
      </x:c>
      <x:c r="G126" s="7" t="n">
        <x:f>ROUND(C126-F126,2)</x:f>
        <x:v>440918.45</x:v>
      </x:c>
      <x:c r="H126" s="7" t="n">
        <x:f>ROUND(D126-E126-F126,2)</x:f>
        <x:v>0</x:v>
      </x:c>
      <x:c r="I126" s="1" t="str">
        <x:v>Projection</x:v>
      </x:c>
    </x:row>
    <x:row r="127" ht="21" customHeight="1">
      <x:c r="A127" s="1" t="n">
        <x:v>116</x:v>
      </x:c>
      <x:c r="B127" s="6" t="n">
        <x:v>49368</x:v>
      </x:c>
      <x:c r="C127" s="7" t="n">
        <x:f>G126</x:f>
        <x:v>440918.45</x:v>
      </x:c>
      <x:c r="D127" s="7" t="n">
        <x:f>IF(A127=$B$7,ROUND(C127+E127,2),MIN($B$8,ROUND(C127+E127,2)))</x:f>
        <x:v>3151.17</x:v>
      </x:c>
      <x:c r="E127" s="7" t="n">
        <x:f>ROUND(C127*$B$6/12,2)</x:f>
        <x:v>2241.34</x:v>
      </x:c>
      <x:c r="F127" s="7" t="n">
        <x:f>ROUND(D127-E127,2)</x:f>
        <x:v>909.83</x:v>
      </x:c>
      <x:c r="G127" s="7" t="n">
        <x:f>ROUND(C127-F127,2)</x:f>
        <x:v>440008.62</x:v>
      </x:c>
      <x:c r="H127" s="7" t="n">
        <x:f>ROUND(D127-E127-F127,2)</x:f>
        <x:v>0</x:v>
      </x:c>
      <x:c r="I127" s="1" t="str">
        <x:v>Projection</x:v>
      </x:c>
    </x:row>
    <x:row r="128" ht="21" customHeight="1">
      <x:c r="A128" s="1" t="n">
        <x:v>117</x:v>
      </x:c>
      <x:c r="B128" s="6" t="n">
        <x:v>49399</x:v>
      </x:c>
      <x:c r="C128" s="7" t="n">
        <x:f>G127</x:f>
        <x:v>440008.62</x:v>
      </x:c>
      <x:c r="D128" s="7" t="n">
        <x:f>IF(A128=$B$7,ROUND(C128+E128,2),MIN($B$8,ROUND(C128+E128,2)))</x:f>
        <x:v>3151.17</x:v>
      </x:c>
      <x:c r="E128" s="7" t="n">
        <x:f>ROUND(C128*$B$6/12,2)</x:f>
        <x:v>2236.71</x:v>
      </x:c>
      <x:c r="F128" s="7" t="n">
        <x:f>ROUND(D128-E128,2)</x:f>
        <x:v>914.46</x:v>
      </x:c>
      <x:c r="G128" s="7" t="n">
        <x:f>ROUND(C128-F128,2)</x:f>
        <x:v>439094.16</x:v>
      </x:c>
      <x:c r="H128" s="7" t="n">
        <x:f>ROUND(D128-E128-F128,2)</x:f>
        <x:v>0</x:v>
      </x:c>
      <x:c r="I128" s="1" t="str">
        <x:v>Projection</x:v>
      </x:c>
    </x:row>
    <x:row r="129" ht="21" customHeight="1">
      <x:c r="A129" s="1" t="n">
        <x:v>118</x:v>
      </x:c>
      <x:c r="B129" s="6" t="n">
        <x:v>49429</x:v>
      </x:c>
      <x:c r="C129" s="7" t="n">
        <x:f>G128</x:f>
        <x:v>439094.16</x:v>
      </x:c>
      <x:c r="D129" s="7" t="n">
        <x:f>IF(A129=$B$7,ROUND(C129+E129,2),MIN($B$8,ROUND(C129+E129,2)))</x:f>
        <x:v>3151.17</x:v>
      </x:c>
      <x:c r="E129" s="7" t="n">
        <x:f>ROUND(C129*$B$6/12,2)</x:f>
        <x:v>2232.06</x:v>
      </x:c>
      <x:c r="F129" s="7" t="n">
        <x:f>ROUND(D129-E129,2)</x:f>
        <x:v>919.11</x:v>
      </x:c>
      <x:c r="G129" s="7" t="n">
        <x:f>ROUND(C129-F129,2)</x:f>
        <x:v>438175.05</x:v>
      </x:c>
      <x:c r="H129" s="7" t="n">
        <x:f>ROUND(D129-E129-F129,2)</x:f>
        <x:v>0</x:v>
      </x:c>
      <x:c r="I129" s="1" t="str">
        <x:v>Projection</x:v>
      </x:c>
    </x:row>
    <x:row r="130" ht="21" customHeight="1">
      <x:c r="A130" s="1" t="n">
        <x:v>119</x:v>
      </x:c>
      <x:c r="B130" s="6" t="n">
        <x:v>49460</x:v>
      </x:c>
      <x:c r="C130" s="7" t="n">
        <x:f>G129</x:f>
        <x:v>438175.05</x:v>
      </x:c>
      <x:c r="D130" s="7" t="n">
        <x:f>IF(A130=$B$7,ROUND(C130+E130,2),MIN($B$8,ROUND(C130+E130,2)))</x:f>
        <x:v>3151.17</x:v>
      </x:c>
      <x:c r="E130" s="7" t="n">
        <x:f>ROUND(C130*$B$6/12,2)</x:f>
        <x:v>2227.39</x:v>
      </x:c>
      <x:c r="F130" s="7" t="n">
        <x:f>ROUND(D130-E130,2)</x:f>
        <x:v>923.78</x:v>
      </x:c>
      <x:c r="G130" s="7" t="n">
        <x:f>ROUND(C130-F130,2)</x:f>
        <x:v>437251.27</x:v>
      </x:c>
      <x:c r="H130" s="7" t="n">
        <x:f>ROUND(D130-E130-F130,2)</x:f>
        <x:v>0</x:v>
      </x:c>
      <x:c r="I130" s="1" t="str">
        <x:v>Projection</x:v>
      </x:c>
    </x:row>
    <x:row r="131" ht="21" customHeight="1">
      <x:c r="A131" s="1" t="n">
        <x:v>120</x:v>
      </x:c>
      <x:c r="B131" s="6" t="n">
        <x:v>49490</x:v>
      </x:c>
      <x:c r="C131" s="7" t="n">
        <x:f>G130</x:f>
        <x:v>437251.27</x:v>
      </x:c>
      <x:c r="D131" s="7" t="n">
        <x:f>IF(A131=$B$7,ROUND(C131+E131,2),MIN($B$8,ROUND(C131+E131,2)))</x:f>
        <x:v>3151.17</x:v>
      </x:c>
      <x:c r="E131" s="7" t="n">
        <x:f>ROUND(C131*$B$6/12,2)</x:f>
        <x:v>2222.69</x:v>
      </x:c>
      <x:c r="F131" s="7" t="n">
        <x:f>ROUND(D131-E131,2)</x:f>
        <x:v>928.48</x:v>
      </x:c>
      <x:c r="G131" s="7" t="n">
        <x:f>ROUND(C131-F131,2)</x:f>
        <x:v>436322.79</x:v>
      </x:c>
      <x:c r="H131" s="7" t="n">
        <x:f>ROUND(D131-E131-F131,2)</x:f>
        <x:v>0</x:v>
      </x:c>
      <x:c r="I131" s="1" t="str">
        <x:v>Projection</x:v>
      </x:c>
    </x:row>
    <x:row r="132" ht="21" customHeight="1">
      <x:c r="A132" s="1" t="n">
        <x:v>121</x:v>
      </x:c>
      <x:c r="B132" s="6" t="n">
        <x:v>49521</x:v>
      </x:c>
      <x:c r="C132" s="7" t="n">
        <x:f>G131</x:f>
        <x:v>436322.79</x:v>
      </x:c>
      <x:c r="D132" s="7" t="n">
        <x:f>IF(A132=$B$7,ROUND(C132+E132,2),MIN($B$8,ROUND(C132+E132,2)))</x:f>
        <x:v>3151.17</x:v>
      </x:c>
      <x:c r="E132" s="7" t="n">
        <x:f>ROUND(C132*$B$6/12,2)</x:f>
        <x:v>2217.97</x:v>
      </x:c>
      <x:c r="F132" s="7" t="n">
        <x:f>ROUND(D132-E132,2)</x:f>
        <x:v>933.2</x:v>
      </x:c>
      <x:c r="G132" s="7" t="n">
        <x:f>ROUND(C132-F132,2)</x:f>
        <x:v>435389.59</x:v>
      </x:c>
      <x:c r="H132" s="7" t="n">
        <x:f>ROUND(D132-E132-F132,2)</x:f>
        <x:v>0</x:v>
      </x:c>
      <x:c r="I132" s="1" t="str">
        <x:v>Projection</x:v>
      </x:c>
    </x:row>
    <x:row r="133" ht="21" customHeight="1">
      <x:c r="A133" s="1" t="n">
        <x:v>122</x:v>
      </x:c>
      <x:c r="B133" s="6" t="n">
        <x:v>49552</x:v>
      </x:c>
      <x:c r="C133" s="7" t="n">
        <x:f>G132</x:f>
        <x:v>435389.59</x:v>
      </x:c>
      <x:c r="D133" s="7" t="n">
        <x:f>IF(A133=$B$7,ROUND(C133+E133,2),MIN($B$8,ROUND(C133+E133,2)))</x:f>
        <x:v>3151.17</x:v>
      </x:c>
      <x:c r="E133" s="7" t="n">
        <x:f>ROUND(C133*$B$6/12,2)</x:f>
        <x:v>2213.23</x:v>
      </x:c>
      <x:c r="F133" s="7" t="n">
        <x:f>ROUND(D133-E133,2)</x:f>
        <x:v>937.94</x:v>
      </x:c>
      <x:c r="G133" s="7" t="n">
        <x:f>ROUND(C133-F133,2)</x:f>
        <x:v>434451.65</x:v>
      </x:c>
      <x:c r="H133" s="7" t="n">
        <x:f>ROUND(D133-E133-F133,2)</x:f>
        <x:v>0</x:v>
      </x:c>
      <x:c r="I133" s="1" t="str">
        <x:v>Projection</x:v>
      </x:c>
    </x:row>
    <x:row r="134" ht="21" customHeight="1">
      <x:c r="A134" s="1" t="n">
        <x:v>123</x:v>
      </x:c>
      <x:c r="B134" s="6" t="n">
        <x:v>49582</x:v>
      </x:c>
      <x:c r="C134" s="7" t="n">
        <x:f>G133</x:f>
        <x:v>434451.65</x:v>
      </x:c>
      <x:c r="D134" s="7" t="n">
        <x:f>IF(A134=$B$7,ROUND(C134+E134,2),MIN($B$8,ROUND(C134+E134,2)))</x:f>
        <x:v>3151.17</x:v>
      </x:c>
      <x:c r="E134" s="7" t="n">
        <x:f>ROUND(C134*$B$6/12,2)</x:f>
        <x:v>2208.46</x:v>
      </x:c>
      <x:c r="F134" s="7" t="n">
        <x:f>ROUND(D134-E134,2)</x:f>
        <x:v>942.71</x:v>
      </x:c>
      <x:c r="G134" s="7" t="n">
        <x:f>ROUND(C134-F134,2)</x:f>
        <x:v>433508.94</x:v>
      </x:c>
      <x:c r="H134" s="7" t="n">
        <x:f>ROUND(D134-E134-F134,2)</x:f>
        <x:v>0</x:v>
      </x:c>
      <x:c r="I134" s="1" t="str">
        <x:v>Projection</x:v>
      </x:c>
    </x:row>
    <x:row r="135" ht="21" customHeight="1">
      <x:c r="A135" s="1" t="n">
        <x:v>124</x:v>
      </x:c>
      <x:c r="B135" s="6" t="n">
        <x:v>49613</x:v>
      </x:c>
      <x:c r="C135" s="7" t="n">
        <x:f>G134</x:f>
        <x:v>433508.94</x:v>
      </x:c>
      <x:c r="D135" s="7" t="n">
        <x:f>IF(A135=$B$7,ROUND(C135+E135,2),MIN($B$8,ROUND(C135+E135,2)))</x:f>
        <x:v>3151.17</x:v>
      </x:c>
      <x:c r="E135" s="7" t="n">
        <x:f>ROUND(C135*$B$6/12,2)</x:f>
        <x:v>2203.67</x:v>
      </x:c>
      <x:c r="F135" s="7" t="n">
        <x:f>ROUND(D135-E135,2)</x:f>
        <x:v>947.5</x:v>
      </x:c>
      <x:c r="G135" s="7" t="n">
        <x:f>ROUND(C135-F135,2)</x:f>
        <x:v>432561.44</x:v>
      </x:c>
      <x:c r="H135" s="7" t="n">
        <x:f>ROUND(D135-E135-F135,2)</x:f>
        <x:v>0</x:v>
      </x:c>
      <x:c r="I135" s="1" t="str">
        <x:v>Projection</x:v>
      </x:c>
    </x:row>
    <x:row r="136" ht="21" customHeight="1">
      <x:c r="A136" s="1" t="n">
        <x:v>125</x:v>
      </x:c>
      <x:c r="B136" s="6" t="n">
        <x:v>49643</x:v>
      </x:c>
      <x:c r="C136" s="7" t="n">
        <x:f>G135</x:f>
        <x:v>432561.44</x:v>
      </x:c>
      <x:c r="D136" s="7" t="n">
        <x:f>IF(A136=$B$7,ROUND(C136+E136,2),MIN($B$8,ROUND(C136+E136,2)))</x:f>
        <x:v>3151.17</x:v>
      </x:c>
      <x:c r="E136" s="7" t="n">
        <x:f>ROUND(C136*$B$6/12,2)</x:f>
        <x:v>2198.85</x:v>
      </x:c>
      <x:c r="F136" s="7" t="n">
        <x:f>ROUND(D136-E136,2)</x:f>
        <x:v>952.32</x:v>
      </x:c>
      <x:c r="G136" s="7" t="n">
        <x:f>ROUND(C136-F136,2)</x:f>
        <x:v>431609.12</x:v>
      </x:c>
      <x:c r="H136" s="7" t="n">
        <x:f>ROUND(D136-E136-F136,2)</x:f>
        <x:v>0</x:v>
      </x:c>
      <x:c r="I136" s="1" t="str">
        <x:v>Projection</x:v>
      </x:c>
    </x:row>
    <x:row r="137" ht="21" customHeight="1">
      <x:c r="A137" s="1" t="n">
        <x:v>126</x:v>
      </x:c>
      <x:c r="B137" s="6" t="n">
        <x:v>49674</x:v>
      </x:c>
      <x:c r="C137" s="7" t="n">
        <x:f>G136</x:f>
        <x:v>431609.12</x:v>
      </x:c>
      <x:c r="D137" s="7" t="n">
        <x:f>IF(A137=$B$7,ROUND(C137+E137,2),MIN($B$8,ROUND(C137+E137,2)))</x:f>
        <x:v>3151.17</x:v>
      </x:c>
      <x:c r="E137" s="7" t="n">
        <x:f>ROUND(C137*$B$6/12,2)</x:f>
        <x:v>2194.01</x:v>
      </x:c>
      <x:c r="F137" s="7" t="n">
        <x:f>ROUND(D137-E137,2)</x:f>
        <x:v>957.16</x:v>
      </x:c>
      <x:c r="G137" s="7" t="n">
        <x:f>ROUND(C137-F137,2)</x:f>
        <x:v>430651.96</x:v>
      </x:c>
      <x:c r="H137" s="7" t="n">
        <x:f>ROUND(D137-E137-F137,2)</x:f>
        <x:v>0</x:v>
      </x:c>
      <x:c r="I137" s="1" t="str">
        <x:v>Projection</x:v>
      </x:c>
    </x:row>
    <x:row r="138" ht="21" customHeight="1">
      <x:c r="A138" s="1" t="n">
        <x:v>127</x:v>
      </x:c>
      <x:c r="B138" s="6" t="n">
        <x:v>49705</x:v>
      </x:c>
      <x:c r="C138" s="7" t="n">
        <x:f>G137</x:f>
        <x:v>430651.96</x:v>
      </x:c>
      <x:c r="D138" s="7" t="n">
        <x:f>IF(A138=$B$7,ROUND(C138+E138,2),MIN($B$8,ROUND(C138+E138,2)))</x:f>
        <x:v>3151.17</x:v>
      </x:c>
      <x:c r="E138" s="7" t="n">
        <x:f>ROUND(C138*$B$6/12,2)</x:f>
        <x:v>2189.15</x:v>
      </x:c>
      <x:c r="F138" s="7" t="n">
        <x:f>ROUND(D138-E138,2)</x:f>
        <x:v>962.02</x:v>
      </x:c>
      <x:c r="G138" s="7" t="n">
        <x:f>ROUND(C138-F138,2)</x:f>
        <x:v>429689.94</x:v>
      </x:c>
      <x:c r="H138" s="7" t="n">
        <x:f>ROUND(D138-E138-F138,2)</x:f>
        <x:v>0</x:v>
      </x:c>
      <x:c r="I138" s="1" t="str">
        <x:v>Projection</x:v>
      </x:c>
    </x:row>
    <x:row r="139" ht="21" customHeight="1">
      <x:c r="A139" s="1" t="n">
        <x:v>128</x:v>
      </x:c>
      <x:c r="B139" s="6" t="n">
        <x:v>49734</x:v>
      </x:c>
      <x:c r="C139" s="7" t="n">
        <x:f>G138</x:f>
        <x:v>429689.94</x:v>
      </x:c>
      <x:c r="D139" s="7" t="n">
        <x:f>IF(A139=$B$7,ROUND(C139+E139,2),MIN($B$8,ROUND(C139+E139,2)))</x:f>
        <x:v>3151.17</x:v>
      </x:c>
      <x:c r="E139" s="7" t="n">
        <x:f>ROUND(C139*$B$6/12,2)</x:f>
        <x:v>2184.26</x:v>
      </x:c>
      <x:c r="F139" s="7" t="n">
        <x:f>ROUND(D139-E139,2)</x:f>
        <x:v>966.91</x:v>
      </x:c>
      <x:c r="G139" s="7" t="n">
        <x:f>ROUND(C139-F139,2)</x:f>
        <x:v>428723.03</x:v>
      </x:c>
      <x:c r="H139" s="7" t="n">
        <x:f>ROUND(D139-E139-F139,2)</x:f>
        <x:v>0</x:v>
      </x:c>
      <x:c r="I139" s="1" t="str">
        <x:v>Projection</x:v>
      </x:c>
    </x:row>
    <x:row r="140" ht="21" customHeight="1">
      <x:c r="A140" s="1" t="n">
        <x:v>129</x:v>
      </x:c>
      <x:c r="B140" s="6" t="n">
        <x:v>49765</x:v>
      </x:c>
      <x:c r="C140" s="7" t="n">
        <x:f>G139</x:f>
        <x:v>428723.03</x:v>
      </x:c>
      <x:c r="D140" s="7" t="n">
        <x:f>IF(A140=$B$7,ROUND(C140+E140,2),MIN($B$8,ROUND(C140+E140,2)))</x:f>
        <x:v>3151.17</x:v>
      </x:c>
      <x:c r="E140" s="7" t="n">
        <x:f>ROUND(C140*$B$6/12,2)</x:f>
        <x:v>2179.34</x:v>
      </x:c>
      <x:c r="F140" s="7" t="n">
        <x:f>ROUND(D140-E140,2)</x:f>
        <x:v>971.83</x:v>
      </x:c>
      <x:c r="G140" s="7" t="n">
        <x:f>ROUND(C140-F140,2)</x:f>
        <x:v>427751.2</x:v>
      </x:c>
      <x:c r="H140" s="7" t="n">
        <x:f>ROUND(D140-E140-F140,2)</x:f>
        <x:v>0</x:v>
      </x:c>
      <x:c r="I140" s="1" t="str">
        <x:v>Projection</x:v>
      </x:c>
    </x:row>
    <x:row r="141" ht="21" customHeight="1">
      <x:c r="A141" s="1" t="n">
        <x:v>130</x:v>
      </x:c>
      <x:c r="B141" s="6" t="n">
        <x:v>49795</x:v>
      </x:c>
      <x:c r="C141" s="7" t="n">
        <x:f>G140</x:f>
        <x:v>427751.2</x:v>
      </x:c>
      <x:c r="D141" s="7" t="n">
        <x:f>IF(A141=$B$7,ROUND(C141+E141,2),MIN($B$8,ROUND(C141+E141,2)))</x:f>
        <x:v>3151.17</x:v>
      </x:c>
      <x:c r="E141" s="7" t="n">
        <x:f>ROUND(C141*$B$6/12,2)</x:f>
        <x:v>2174.4</x:v>
      </x:c>
      <x:c r="F141" s="7" t="n">
        <x:f>ROUND(D141-E141,2)</x:f>
        <x:v>976.77</x:v>
      </x:c>
      <x:c r="G141" s="7" t="n">
        <x:f>ROUND(C141-F141,2)</x:f>
        <x:v>426774.43</x:v>
      </x:c>
      <x:c r="H141" s="7" t="n">
        <x:f>ROUND(D141-E141-F141,2)</x:f>
        <x:v>0</x:v>
      </x:c>
      <x:c r="I141" s="1" t="str">
        <x:v>Projection</x:v>
      </x:c>
    </x:row>
    <x:row r="142" ht="21" customHeight="1">
      <x:c r="A142" s="1" t="n">
        <x:v>131</x:v>
      </x:c>
      <x:c r="B142" s="6" t="n">
        <x:v>49826</x:v>
      </x:c>
      <x:c r="C142" s="7" t="n">
        <x:f>G141</x:f>
        <x:v>426774.43</x:v>
      </x:c>
      <x:c r="D142" s="7" t="n">
        <x:f>IF(A142=$B$7,ROUND(C142+E142,2),MIN($B$8,ROUND(C142+E142,2)))</x:f>
        <x:v>3151.17</x:v>
      </x:c>
      <x:c r="E142" s="7" t="n">
        <x:f>ROUND(C142*$B$6/12,2)</x:f>
        <x:v>2169.44</x:v>
      </x:c>
      <x:c r="F142" s="7" t="n">
        <x:f>ROUND(D142-E142,2)</x:f>
        <x:v>981.73</x:v>
      </x:c>
      <x:c r="G142" s="7" t="n">
        <x:f>ROUND(C142-F142,2)</x:f>
        <x:v>425792.7</x:v>
      </x:c>
      <x:c r="H142" s="7" t="n">
        <x:f>ROUND(D142-E142-F142,2)</x:f>
        <x:v>0</x:v>
      </x:c>
      <x:c r="I142" s="1" t="str">
        <x:v>Projection</x:v>
      </x:c>
    </x:row>
    <x:row r="143" ht="21" customHeight="1">
      <x:c r="A143" s="1" t="n">
        <x:v>132</x:v>
      </x:c>
      <x:c r="B143" s="6" t="n">
        <x:v>49856</x:v>
      </x:c>
      <x:c r="C143" s="7" t="n">
        <x:f>G142</x:f>
        <x:v>425792.7</x:v>
      </x:c>
      <x:c r="D143" s="7" t="n">
        <x:f>IF(A143=$B$7,ROUND(C143+E143,2),MIN($B$8,ROUND(C143+E143,2)))</x:f>
        <x:v>3151.17</x:v>
      </x:c>
      <x:c r="E143" s="7" t="n">
        <x:f>ROUND(C143*$B$6/12,2)</x:f>
        <x:v>2164.45</x:v>
      </x:c>
      <x:c r="F143" s="7" t="n">
        <x:f>ROUND(D143-E143,2)</x:f>
        <x:v>986.72</x:v>
      </x:c>
      <x:c r="G143" s="7" t="n">
        <x:f>ROUND(C143-F143,2)</x:f>
        <x:v>424805.98</x:v>
      </x:c>
      <x:c r="H143" s="7" t="n">
        <x:f>ROUND(D143-E143-F143,2)</x:f>
        <x:v>0</x:v>
      </x:c>
      <x:c r="I143" s="1" t="str">
        <x:v>Projection</x:v>
      </x:c>
    </x:row>
    <x:row r="144" ht="21" customHeight="1">
      <x:c r="A144" s="1" t="n">
        <x:v>133</x:v>
      </x:c>
      <x:c r="B144" s="6" t="n">
        <x:v>49887</x:v>
      </x:c>
      <x:c r="C144" s="7" t="n">
        <x:f>G143</x:f>
        <x:v>424805.98</x:v>
      </x:c>
      <x:c r="D144" s="7" t="n">
        <x:f>IF(A144=$B$7,ROUND(C144+E144,2),MIN($B$8,ROUND(C144+E144,2)))</x:f>
        <x:v>3151.17</x:v>
      </x:c>
      <x:c r="E144" s="7" t="n">
        <x:f>ROUND(C144*$B$6/12,2)</x:f>
        <x:v>2159.43</x:v>
      </x:c>
      <x:c r="F144" s="7" t="n">
        <x:f>ROUND(D144-E144,2)</x:f>
        <x:v>991.74</x:v>
      </x:c>
      <x:c r="G144" s="7" t="n">
        <x:f>ROUND(C144-F144,2)</x:f>
        <x:v>423814.24</x:v>
      </x:c>
      <x:c r="H144" s="7" t="n">
        <x:f>ROUND(D144-E144-F144,2)</x:f>
        <x:v>0</x:v>
      </x:c>
      <x:c r="I144" s="1" t="str">
        <x:v>Projection</x:v>
      </x:c>
    </x:row>
    <x:row r="145" ht="21" customHeight="1">
      <x:c r="A145" s="1" t="n">
        <x:v>134</x:v>
      </x:c>
      <x:c r="B145" s="6" t="n">
        <x:v>49918</x:v>
      </x:c>
      <x:c r="C145" s="7" t="n">
        <x:f>G144</x:f>
        <x:v>423814.24</x:v>
      </x:c>
      <x:c r="D145" s="7" t="n">
        <x:f>IF(A145=$B$7,ROUND(C145+E145,2),MIN($B$8,ROUND(C145+E145,2)))</x:f>
        <x:v>3151.17</x:v>
      </x:c>
      <x:c r="E145" s="7" t="n">
        <x:f>ROUND(C145*$B$6/12,2)</x:f>
        <x:v>2154.39</x:v>
      </x:c>
      <x:c r="F145" s="7" t="n">
        <x:f>ROUND(D145-E145,2)</x:f>
        <x:v>996.78</x:v>
      </x:c>
      <x:c r="G145" s="7" t="n">
        <x:f>ROUND(C145-F145,2)</x:f>
        <x:v>422817.46</x:v>
      </x:c>
      <x:c r="H145" s="7" t="n">
        <x:f>ROUND(D145-E145-F145,2)</x:f>
        <x:v>0</x:v>
      </x:c>
      <x:c r="I145" s="1" t="str">
        <x:v>Projection</x:v>
      </x:c>
    </x:row>
    <x:row r="146" ht="21" customHeight="1">
      <x:c r="A146" s="1" t="n">
        <x:v>135</x:v>
      </x:c>
      <x:c r="B146" s="6" t="n">
        <x:v>49948</x:v>
      </x:c>
      <x:c r="C146" s="7" t="n">
        <x:f>G145</x:f>
        <x:v>422817.46</x:v>
      </x:c>
      <x:c r="D146" s="7" t="n">
        <x:f>IF(A146=$B$7,ROUND(C146+E146,2),MIN($B$8,ROUND(C146+E146,2)))</x:f>
        <x:v>3151.17</x:v>
      </x:c>
      <x:c r="E146" s="7" t="n">
        <x:f>ROUND(C146*$B$6/12,2)</x:f>
        <x:v>2149.32</x:v>
      </x:c>
      <x:c r="F146" s="7" t="n">
        <x:f>ROUND(D146-E146,2)</x:f>
        <x:v>1001.85</x:v>
      </x:c>
      <x:c r="G146" s="7" t="n">
        <x:f>ROUND(C146-F146,2)</x:f>
        <x:v>421815.61</x:v>
      </x:c>
      <x:c r="H146" s="7" t="n">
        <x:f>ROUND(D146-E146-F146,2)</x:f>
        <x:v>0</x:v>
      </x:c>
      <x:c r="I146" s="1" t="str">
        <x:v>Projection</x:v>
      </x:c>
    </x:row>
    <x:row r="147" ht="21" customHeight="1">
      <x:c r="A147" s="1" t="n">
        <x:v>136</x:v>
      </x:c>
      <x:c r="B147" s="6" t="n">
        <x:v>49979</x:v>
      </x:c>
      <x:c r="C147" s="7" t="n">
        <x:f>G146</x:f>
        <x:v>421815.61</x:v>
      </x:c>
      <x:c r="D147" s="7" t="n">
        <x:f>IF(A147=$B$7,ROUND(C147+E147,2),MIN($B$8,ROUND(C147+E147,2)))</x:f>
        <x:v>3151.17</x:v>
      </x:c>
      <x:c r="E147" s="7" t="n">
        <x:f>ROUND(C147*$B$6/12,2)</x:f>
        <x:v>2144.23</x:v>
      </x:c>
      <x:c r="F147" s="7" t="n">
        <x:f>ROUND(D147-E147,2)</x:f>
        <x:v>1006.94</x:v>
      </x:c>
      <x:c r="G147" s="7" t="n">
        <x:f>ROUND(C147-F147,2)</x:f>
        <x:v>420808.67</x:v>
      </x:c>
      <x:c r="H147" s="7" t="n">
        <x:f>ROUND(D147-E147-F147,2)</x:f>
        <x:v>0</x:v>
      </x:c>
      <x:c r="I147" s="1" t="str">
        <x:v>Projection</x:v>
      </x:c>
    </x:row>
    <x:row r="148" ht="21" customHeight="1">
      <x:c r="A148" s="1" t="n">
        <x:v>137</x:v>
      </x:c>
      <x:c r="B148" s="6" t="n">
        <x:v>50009</x:v>
      </x:c>
      <x:c r="C148" s="7" t="n">
        <x:f>G147</x:f>
        <x:v>420808.67</x:v>
      </x:c>
      <x:c r="D148" s="7" t="n">
        <x:f>IF(A148=$B$7,ROUND(C148+E148,2),MIN($B$8,ROUND(C148+E148,2)))</x:f>
        <x:v>3151.17</x:v>
      </x:c>
      <x:c r="E148" s="7" t="n">
        <x:f>ROUND(C148*$B$6/12,2)</x:f>
        <x:v>2139.11</x:v>
      </x:c>
      <x:c r="F148" s="7" t="n">
        <x:f>ROUND(D148-E148,2)</x:f>
        <x:v>1012.06</x:v>
      </x:c>
      <x:c r="G148" s="7" t="n">
        <x:f>ROUND(C148-F148,2)</x:f>
        <x:v>419796.61</x:v>
      </x:c>
      <x:c r="H148" s="7" t="n">
        <x:f>ROUND(D148-E148-F148,2)</x:f>
        <x:v>0</x:v>
      </x:c>
      <x:c r="I148" s="1" t="str">
        <x:v>Projection</x:v>
      </x:c>
    </x:row>
    <x:row r="149" ht="21" customHeight="1">
      <x:c r="A149" s="1" t="n">
        <x:v>138</x:v>
      </x:c>
      <x:c r="B149" s="6" t="n">
        <x:v>50040</x:v>
      </x:c>
      <x:c r="C149" s="7" t="n">
        <x:f>G148</x:f>
        <x:v>419796.61</x:v>
      </x:c>
      <x:c r="D149" s="7" t="n">
        <x:f>IF(A149=$B$7,ROUND(C149+E149,2),MIN($B$8,ROUND(C149+E149,2)))</x:f>
        <x:v>3151.17</x:v>
      </x:c>
      <x:c r="E149" s="7" t="n">
        <x:f>ROUND(C149*$B$6/12,2)</x:f>
        <x:v>2133.97</x:v>
      </x:c>
      <x:c r="F149" s="7" t="n">
        <x:f>ROUND(D149-E149,2)</x:f>
        <x:v>1017.2</x:v>
      </x:c>
      <x:c r="G149" s="7" t="n">
        <x:f>ROUND(C149-F149,2)</x:f>
        <x:v>418779.41</x:v>
      </x:c>
      <x:c r="H149" s="7" t="n">
        <x:f>ROUND(D149-E149-F149,2)</x:f>
        <x:v>0</x:v>
      </x:c>
      <x:c r="I149" s="1" t="str">
        <x:v>Projection</x:v>
      </x:c>
    </x:row>
    <x:row r="150" ht="21" customHeight="1">
      <x:c r="A150" s="1" t="n">
        <x:v>139</x:v>
      </x:c>
      <x:c r="B150" s="6" t="n">
        <x:v>50071</x:v>
      </x:c>
      <x:c r="C150" s="7" t="n">
        <x:f>G149</x:f>
        <x:v>418779.41</x:v>
      </x:c>
      <x:c r="D150" s="7" t="n">
        <x:f>IF(A150=$B$7,ROUND(C150+E150,2),MIN($B$8,ROUND(C150+E150,2)))</x:f>
        <x:v>3151.17</x:v>
      </x:c>
      <x:c r="E150" s="7" t="n">
        <x:f>ROUND(C150*$B$6/12,2)</x:f>
        <x:v>2128.8</x:v>
      </x:c>
      <x:c r="F150" s="7" t="n">
        <x:f>ROUND(D150-E150,2)</x:f>
        <x:v>1022.37</x:v>
      </x:c>
      <x:c r="G150" s="7" t="n">
        <x:f>ROUND(C150-F150,2)</x:f>
        <x:v>417757.04</x:v>
      </x:c>
      <x:c r="H150" s="7" t="n">
        <x:f>ROUND(D150-E150-F150,2)</x:f>
        <x:v>0</x:v>
      </x:c>
      <x:c r="I150" s="1" t="str">
        <x:v>Projection</x:v>
      </x:c>
    </x:row>
    <x:row r="151" ht="21" customHeight="1">
      <x:c r="A151" s="1" t="n">
        <x:v>140</x:v>
      </x:c>
      <x:c r="B151" s="6" t="n">
        <x:v>50099</x:v>
      </x:c>
      <x:c r="C151" s="7" t="n">
        <x:f>G150</x:f>
        <x:v>417757.04</x:v>
      </x:c>
      <x:c r="D151" s="7" t="n">
        <x:f>IF(A151=$B$7,ROUND(C151+E151,2),MIN($B$8,ROUND(C151+E151,2)))</x:f>
        <x:v>3151.17</x:v>
      </x:c>
      <x:c r="E151" s="7" t="n">
        <x:f>ROUND(C151*$B$6/12,2)</x:f>
        <x:v>2123.6</x:v>
      </x:c>
      <x:c r="F151" s="7" t="n">
        <x:f>ROUND(D151-E151,2)</x:f>
        <x:v>1027.57</x:v>
      </x:c>
      <x:c r="G151" s="7" t="n">
        <x:f>ROUND(C151-F151,2)</x:f>
        <x:v>416729.47</x:v>
      </x:c>
      <x:c r="H151" s="7" t="n">
        <x:f>ROUND(D151-E151-F151,2)</x:f>
        <x:v>0</x:v>
      </x:c>
      <x:c r="I151" s="1" t="str">
        <x:v>Projection</x:v>
      </x:c>
    </x:row>
    <x:row r="152" ht="21" customHeight="1">
      <x:c r="A152" s="1" t="n">
        <x:v>141</x:v>
      </x:c>
      <x:c r="B152" s="6" t="n">
        <x:v>50130</x:v>
      </x:c>
      <x:c r="C152" s="7" t="n">
        <x:f>G151</x:f>
        <x:v>416729.47</x:v>
      </x:c>
      <x:c r="D152" s="7" t="n">
        <x:f>IF(A152=$B$7,ROUND(C152+E152,2),MIN($B$8,ROUND(C152+E152,2)))</x:f>
        <x:v>3151.17</x:v>
      </x:c>
      <x:c r="E152" s="7" t="n">
        <x:f>ROUND(C152*$B$6/12,2)</x:f>
        <x:v>2118.37</x:v>
      </x:c>
      <x:c r="F152" s="7" t="n">
        <x:f>ROUND(D152-E152,2)</x:f>
        <x:v>1032.8</x:v>
      </x:c>
      <x:c r="G152" s="7" t="n">
        <x:f>ROUND(C152-F152,2)</x:f>
        <x:v>415696.67</x:v>
      </x:c>
      <x:c r="H152" s="7" t="n">
        <x:f>ROUND(D152-E152-F152,2)</x:f>
        <x:v>0</x:v>
      </x:c>
      <x:c r="I152" s="1" t="str">
        <x:v>Projection</x:v>
      </x:c>
    </x:row>
    <x:row r="153" ht="21" customHeight="1">
      <x:c r="A153" s="1" t="n">
        <x:v>142</x:v>
      </x:c>
      <x:c r="B153" s="6" t="n">
        <x:v>50160</x:v>
      </x:c>
      <x:c r="C153" s="7" t="n">
        <x:f>G152</x:f>
        <x:v>415696.67</x:v>
      </x:c>
      <x:c r="D153" s="7" t="n">
        <x:f>IF(A153=$B$7,ROUND(C153+E153,2),MIN($B$8,ROUND(C153+E153,2)))</x:f>
        <x:v>3151.17</x:v>
      </x:c>
      <x:c r="E153" s="7" t="n">
        <x:f>ROUND(C153*$B$6/12,2)</x:f>
        <x:v>2113.12</x:v>
      </x:c>
      <x:c r="F153" s="7" t="n">
        <x:f>ROUND(D153-E153,2)</x:f>
        <x:v>1038.05</x:v>
      </x:c>
      <x:c r="G153" s="7" t="n">
        <x:f>ROUND(C153-F153,2)</x:f>
        <x:v>414658.62</x:v>
      </x:c>
      <x:c r="H153" s="7" t="n">
        <x:f>ROUND(D153-E153-F153,2)</x:f>
        <x:v>0</x:v>
      </x:c>
      <x:c r="I153" s="1" t="str">
        <x:v>Projection</x:v>
      </x:c>
    </x:row>
    <x:row r="154" ht="21" customHeight="1">
      <x:c r="A154" s="1" t="n">
        <x:v>143</x:v>
      </x:c>
      <x:c r="B154" s="6" t="n">
        <x:v>50191</x:v>
      </x:c>
      <x:c r="C154" s="7" t="n">
        <x:f>G153</x:f>
        <x:v>414658.62</x:v>
      </x:c>
      <x:c r="D154" s="7" t="n">
        <x:f>IF(A154=$B$7,ROUND(C154+E154,2),MIN($B$8,ROUND(C154+E154,2)))</x:f>
        <x:v>3151.17</x:v>
      </x:c>
      <x:c r="E154" s="7" t="n">
        <x:f>ROUND(C154*$B$6/12,2)</x:f>
        <x:v>2107.85</x:v>
      </x:c>
      <x:c r="F154" s="7" t="n">
        <x:f>ROUND(D154-E154,2)</x:f>
        <x:v>1043.32</x:v>
      </x:c>
      <x:c r="G154" s="7" t="n">
        <x:f>ROUND(C154-F154,2)</x:f>
        <x:v>413615.3</x:v>
      </x:c>
      <x:c r="H154" s="7" t="n">
        <x:f>ROUND(D154-E154-F154,2)</x:f>
        <x:v>0</x:v>
      </x:c>
      <x:c r="I154" s="1" t="str">
        <x:v>Projection</x:v>
      </x:c>
    </x:row>
    <x:row r="155" ht="21" customHeight="1">
      <x:c r="A155" s="1" t="n">
        <x:v>144</x:v>
      </x:c>
      <x:c r="B155" s="6" t="n">
        <x:v>50221</x:v>
      </x:c>
      <x:c r="C155" s="7" t="n">
        <x:f>G154</x:f>
        <x:v>413615.3</x:v>
      </x:c>
      <x:c r="D155" s="7" t="n">
        <x:f>IF(A155=$B$7,ROUND(C155+E155,2),MIN($B$8,ROUND(C155+E155,2)))</x:f>
        <x:v>3151.17</x:v>
      </x:c>
      <x:c r="E155" s="7" t="n">
        <x:f>ROUND(C155*$B$6/12,2)</x:f>
        <x:v>2102.54</x:v>
      </x:c>
      <x:c r="F155" s="7" t="n">
        <x:f>ROUND(D155-E155,2)</x:f>
        <x:v>1048.63</x:v>
      </x:c>
      <x:c r="G155" s="7" t="n">
        <x:f>ROUND(C155-F155,2)</x:f>
        <x:v>412566.67</x:v>
      </x:c>
      <x:c r="H155" s="7" t="n">
        <x:f>ROUND(D155-E155-F155,2)</x:f>
        <x:v>0</x:v>
      </x:c>
      <x:c r="I155" s="1" t="str">
        <x:v>Projection</x:v>
      </x:c>
    </x:row>
    <x:row r="156" ht="21" customHeight="1">
      <x:c r="A156" s="1" t="n">
        <x:v>145</x:v>
      </x:c>
      <x:c r="B156" s="6" t="n">
        <x:v>50252</x:v>
      </x:c>
      <x:c r="C156" s="7" t="n">
        <x:f>G155</x:f>
        <x:v>412566.67</x:v>
      </x:c>
      <x:c r="D156" s="7" t="n">
        <x:f>IF(A156=$B$7,ROUND(C156+E156,2),MIN($B$8,ROUND(C156+E156,2)))</x:f>
        <x:v>3151.17</x:v>
      </x:c>
      <x:c r="E156" s="7" t="n">
        <x:f>ROUND(C156*$B$6/12,2)</x:f>
        <x:v>2097.21</x:v>
      </x:c>
      <x:c r="F156" s="7" t="n">
        <x:f>ROUND(D156-E156,2)</x:f>
        <x:v>1053.96</x:v>
      </x:c>
      <x:c r="G156" s="7" t="n">
        <x:f>ROUND(C156-F156,2)</x:f>
        <x:v>411512.71</x:v>
      </x:c>
      <x:c r="H156" s="7" t="n">
        <x:f>ROUND(D156-E156-F156,2)</x:f>
        <x:v>0</x:v>
      </x:c>
      <x:c r="I156" s="1" t="str">
        <x:v>Projection</x:v>
      </x:c>
    </x:row>
    <x:row r="157" ht="21" customHeight="1">
      <x:c r="A157" s="1" t="n">
        <x:v>146</x:v>
      </x:c>
      <x:c r="B157" s="6" t="n">
        <x:v>50283</x:v>
      </x:c>
      <x:c r="C157" s="7" t="n">
        <x:f>G156</x:f>
        <x:v>411512.71</x:v>
      </x:c>
      <x:c r="D157" s="7" t="n">
        <x:f>IF(A157=$B$7,ROUND(C157+E157,2),MIN($B$8,ROUND(C157+E157,2)))</x:f>
        <x:v>3151.17</x:v>
      </x:c>
      <x:c r="E157" s="7" t="n">
        <x:f>ROUND(C157*$B$6/12,2)</x:f>
        <x:v>2091.86</x:v>
      </x:c>
      <x:c r="F157" s="7" t="n">
        <x:f>ROUND(D157-E157,2)</x:f>
        <x:v>1059.31</x:v>
      </x:c>
      <x:c r="G157" s="7" t="n">
        <x:f>ROUND(C157-F157,2)</x:f>
        <x:v>410453.4</x:v>
      </x:c>
      <x:c r="H157" s="7" t="n">
        <x:f>ROUND(D157-E157-F157,2)</x:f>
        <x:v>0</x:v>
      </x:c>
      <x:c r="I157" s="1" t="str">
        <x:v>Projection</x:v>
      </x:c>
    </x:row>
    <x:row r="158" ht="21" customHeight="1">
      <x:c r="A158" s="1" t="n">
        <x:v>147</x:v>
      </x:c>
      <x:c r="B158" s="6" t="n">
        <x:v>50313</x:v>
      </x:c>
      <x:c r="C158" s="7" t="n">
        <x:f>G157</x:f>
        <x:v>410453.4</x:v>
      </x:c>
      <x:c r="D158" s="7" t="n">
        <x:f>IF(A158=$B$7,ROUND(C158+E158,2),MIN($B$8,ROUND(C158+E158,2)))</x:f>
        <x:v>3151.17</x:v>
      </x:c>
      <x:c r="E158" s="7" t="n">
        <x:f>ROUND(C158*$B$6/12,2)</x:f>
        <x:v>2086.47</x:v>
      </x:c>
      <x:c r="F158" s="7" t="n">
        <x:f>ROUND(D158-E158,2)</x:f>
        <x:v>1064.7</x:v>
      </x:c>
      <x:c r="G158" s="7" t="n">
        <x:f>ROUND(C158-F158,2)</x:f>
        <x:v>409388.7</x:v>
      </x:c>
      <x:c r="H158" s="7" t="n">
        <x:f>ROUND(D158-E158-F158,2)</x:f>
        <x:v>0</x:v>
      </x:c>
      <x:c r="I158" s="1" t="str">
        <x:v>Projection</x:v>
      </x:c>
    </x:row>
    <x:row r="159" ht="21" customHeight="1">
      <x:c r="A159" s="1" t="n">
        <x:v>148</x:v>
      </x:c>
      <x:c r="B159" s="6" t="n">
        <x:v>50344</x:v>
      </x:c>
      <x:c r="C159" s="7" t="n">
        <x:f>G158</x:f>
        <x:v>409388.7</x:v>
      </x:c>
      <x:c r="D159" s="7" t="n">
        <x:f>IF(A159=$B$7,ROUND(C159+E159,2),MIN($B$8,ROUND(C159+E159,2)))</x:f>
        <x:v>3151.17</x:v>
      </x:c>
      <x:c r="E159" s="7" t="n">
        <x:f>ROUND(C159*$B$6/12,2)</x:f>
        <x:v>2081.06</x:v>
      </x:c>
      <x:c r="F159" s="7" t="n">
        <x:f>ROUND(D159-E159,2)</x:f>
        <x:v>1070.11</x:v>
      </x:c>
      <x:c r="G159" s="7" t="n">
        <x:f>ROUND(C159-F159,2)</x:f>
        <x:v>408318.59</x:v>
      </x:c>
      <x:c r="H159" s="7" t="n">
        <x:f>ROUND(D159-E159-F159,2)</x:f>
        <x:v>0</x:v>
      </x:c>
      <x:c r="I159" s="1" t="str">
        <x:v>Projection</x:v>
      </x:c>
    </x:row>
    <x:row r="160" ht="21" customHeight="1">
      <x:c r="A160" s="1" t="n">
        <x:v>149</x:v>
      </x:c>
      <x:c r="B160" s="6" t="n">
        <x:v>50374</x:v>
      </x:c>
      <x:c r="C160" s="7" t="n">
        <x:f>G159</x:f>
        <x:v>408318.59</x:v>
      </x:c>
      <x:c r="D160" s="7" t="n">
        <x:f>IF(A160=$B$7,ROUND(C160+E160,2),MIN($B$8,ROUND(C160+E160,2)))</x:f>
        <x:v>3151.17</x:v>
      </x:c>
      <x:c r="E160" s="7" t="n">
        <x:f>ROUND(C160*$B$6/12,2)</x:f>
        <x:v>2075.62</x:v>
      </x:c>
      <x:c r="F160" s="7" t="n">
        <x:f>ROUND(D160-E160,2)</x:f>
        <x:v>1075.55</x:v>
      </x:c>
      <x:c r="G160" s="7" t="n">
        <x:f>ROUND(C160-F160,2)</x:f>
        <x:v>407243.04</x:v>
      </x:c>
      <x:c r="H160" s="7" t="n">
        <x:f>ROUND(D160-E160-F160,2)</x:f>
        <x:v>0</x:v>
      </x:c>
      <x:c r="I160" s="1" t="str">
        <x:v>Projection</x:v>
      </x:c>
    </x:row>
    <x:row r="161" ht="21" customHeight="1">
      <x:c r="A161" s="1" t="n">
        <x:v>150</x:v>
      </x:c>
      <x:c r="B161" s="6" t="n">
        <x:v>50405</x:v>
      </x:c>
      <x:c r="C161" s="7" t="n">
        <x:f>G160</x:f>
        <x:v>407243.04</x:v>
      </x:c>
      <x:c r="D161" s="7" t="n">
        <x:f>IF(A161=$B$7,ROUND(C161+E161,2),MIN($B$8,ROUND(C161+E161,2)))</x:f>
        <x:v>3151.17</x:v>
      </x:c>
      <x:c r="E161" s="7" t="n">
        <x:f>ROUND(C161*$B$6/12,2)</x:f>
        <x:v>2070.15</x:v>
      </x:c>
      <x:c r="F161" s="7" t="n">
        <x:f>ROUND(D161-E161,2)</x:f>
        <x:v>1081.02</x:v>
      </x:c>
      <x:c r="G161" s="7" t="n">
        <x:f>ROUND(C161-F161,2)</x:f>
        <x:v>406162.02</x:v>
      </x:c>
      <x:c r="H161" s="7" t="n">
        <x:f>ROUND(D161-E161-F161,2)</x:f>
        <x:v>0</x:v>
      </x:c>
      <x:c r="I161" s="1" t="str">
        <x:v>Projection</x:v>
      </x:c>
    </x:row>
    <x:row r="162" ht="21" customHeight="1">
      <x:c r="A162" s="1" t="n">
        <x:v>151</x:v>
      </x:c>
      <x:c r="B162" s="6" t="n">
        <x:v>50436</x:v>
      </x:c>
      <x:c r="C162" s="7" t="n">
        <x:f>G161</x:f>
        <x:v>406162.02</x:v>
      </x:c>
      <x:c r="D162" s="7" t="n">
        <x:f>IF(A162=$B$7,ROUND(C162+E162,2),MIN($B$8,ROUND(C162+E162,2)))</x:f>
        <x:v>3151.17</x:v>
      </x:c>
      <x:c r="E162" s="7" t="n">
        <x:f>ROUND(C162*$B$6/12,2)</x:f>
        <x:v>2064.66</x:v>
      </x:c>
      <x:c r="F162" s="7" t="n">
        <x:f>ROUND(D162-E162,2)</x:f>
        <x:v>1086.51</x:v>
      </x:c>
      <x:c r="G162" s="7" t="n">
        <x:f>ROUND(C162-F162,2)</x:f>
        <x:v>405075.51</x:v>
      </x:c>
      <x:c r="H162" s="7" t="n">
        <x:f>ROUND(D162-E162-F162,2)</x:f>
        <x:v>0</x:v>
      </x:c>
      <x:c r="I162" s="1" t="str">
        <x:v>Projection</x:v>
      </x:c>
    </x:row>
    <x:row r="163" ht="21" customHeight="1">
      <x:c r="A163" s="1" t="n">
        <x:v>152</x:v>
      </x:c>
      <x:c r="B163" s="6" t="n">
        <x:v>50464</x:v>
      </x:c>
      <x:c r="C163" s="7" t="n">
        <x:f>G162</x:f>
        <x:v>405075.51</x:v>
      </x:c>
      <x:c r="D163" s="7" t="n">
        <x:f>IF(A163=$B$7,ROUND(C163+E163,2),MIN($B$8,ROUND(C163+E163,2)))</x:f>
        <x:v>3151.17</x:v>
      </x:c>
      <x:c r="E163" s="7" t="n">
        <x:f>ROUND(C163*$B$6/12,2)</x:f>
        <x:v>2059.13</x:v>
      </x:c>
      <x:c r="F163" s="7" t="n">
        <x:f>ROUND(D163-E163,2)</x:f>
        <x:v>1092.04</x:v>
      </x:c>
      <x:c r="G163" s="7" t="n">
        <x:f>ROUND(C163-F163,2)</x:f>
        <x:v>403983.47</x:v>
      </x:c>
      <x:c r="H163" s="7" t="n">
        <x:f>ROUND(D163-E163-F163,2)</x:f>
        <x:v>0</x:v>
      </x:c>
      <x:c r="I163" s="1" t="str">
        <x:v>Projection</x:v>
      </x:c>
    </x:row>
    <x:row r="164" ht="21" customHeight="1">
      <x:c r="A164" s="1" t="n">
        <x:v>153</x:v>
      </x:c>
      <x:c r="B164" s="6" t="n">
        <x:v>50495</x:v>
      </x:c>
      <x:c r="C164" s="7" t="n">
        <x:f>G163</x:f>
        <x:v>403983.47</x:v>
      </x:c>
      <x:c r="D164" s="7" t="n">
        <x:f>IF(A164=$B$7,ROUND(C164+E164,2),MIN($B$8,ROUND(C164+E164,2)))</x:f>
        <x:v>3151.17</x:v>
      </x:c>
      <x:c r="E164" s="7" t="n">
        <x:f>ROUND(C164*$B$6/12,2)</x:f>
        <x:v>2053.58</x:v>
      </x:c>
      <x:c r="F164" s="7" t="n">
        <x:f>ROUND(D164-E164,2)</x:f>
        <x:v>1097.59</x:v>
      </x:c>
      <x:c r="G164" s="7" t="n">
        <x:f>ROUND(C164-F164,2)</x:f>
        <x:v>402885.88</x:v>
      </x:c>
      <x:c r="H164" s="7" t="n">
        <x:f>ROUND(D164-E164-F164,2)</x:f>
        <x:v>0</x:v>
      </x:c>
      <x:c r="I164" s="1" t="str">
        <x:v>Projection</x:v>
      </x:c>
    </x:row>
    <x:row r="165" ht="21" customHeight="1">
      <x:c r="A165" s="1" t="n">
        <x:v>154</x:v>
      </x:c>
      <x:c r="B165" s="6" t="n">
        <x:v>50525</x:v>
      </x:c>
      <x:c r="C165" s="7" t="n">
        <x:f>G164</x:f>
        <x:v>402885.88</x:v>
      </x:c>
      <x:c r="D165" s="7" t="n">
        <x:f>IF(A165=$B$7,ROUND(C165+E165,2),MIN($B$8,ROUND(C165+E165,2)))</x:f>
        <x:v>3151.17</x:v>
      </x:c>
      <x:c r="E165" s="7" t="n">
        <x:f>ROUND(C165*$B$6/12,2)</x:f>
        <x:v>2048</x:v>
      </x:c>
      <x:c r="F165" s="7" t="n">
        <x:f>ROUND(D165-E165,2)</x:f>
        <x:v>1103.17</x:v>
      </x:c>
      <x:c r="G165" s="7" t="n">
        <x:f>ROUND(C165-F165,2)</x:f>
        <x:v>401782.71</x:v>
      </x:c>
      <x:c r="H165" s="7" t="n">
        <x:f>ROUND(D165-E165-F165,2)</x:f>
        <x:v>0</x:v>
      </x:c>
      <x:c r="I165" s="1" t="str">
        <x:v>Projection</x:v>
      </x:c>
    </x:row>
    <x:row r="166" ht="21" customHeight="1">
      <x:c r="A166" s="1" t="n">
        <x:v>155</x:v>
      </x:c>
      <x:c r="B166" s="6" t="n">
        <x:v>50556</x:v>
      </x:c>
      <x:c r="C166" s="7" t="n">
        <x:f>G165</x:f>
        <x:v>401782.71</x:v>
      </x:c>
      <x:c r="D166" s="7" t="n">
        <x:f>IF(A166=$B$7,ROUND(C166+E166,2),MIN($B$8,ROUND(C166+E166,2)))</x:f>
        <x:v>3151.17</x:v>
      </x:c>
      <x:c r="E166" s="7" t="n">
        <x:f>ROUND(C166*$B$6/12,2)</x:f>
        <x:v>2042.4</x:v>
      </x:c>
      <x:c r="F166" s="7" t="n">
        <x:f>ROUND(D166-E166,2)</x:f>
        <x:v>1108.77</x:v>
      </x:c>
      <x:c r="G166" s="7" t="n">
        <x:f>ROUND(C166-F166,2)</x:f>
        <x:v>400673.94</x:v>
      </x:c>
      <x:c r="H166" s="7" t="n">
        <x:f>ROUND(D166-E166-F166,2)</x:f>
        <x:v>0</x:v>
      </x:c>
      <x:c r="I166" s="1" t="str">
        <x:v>Projection</x:v>
      </x:c>
    </x:row>
    <x:row r="167" ht="21" customHeight="1">
      <x:c r="A167" s="1" t="n">
        <x:v>156</x:v>
      </x:c>
      <x:c r="B167" s="6" t="n">
        <x:v>50586</x:v>
      </x:c>
      <x:c r="C167" s="7" t="n">
        <x:f>G166</x:f>
        <x:v>400673.94</x:v>
      </x:c>
      <x:c r="D167" s="7" t="n">
        <x:f>IF(A167=$B$7,ROUND(C167+E167,2),MIN($B$8,ROUND(C167+E167,2)))</x:f>
        <x:v>3151.17</x:v>
      </x:c>
      <x:c r="E167" s="7" t="n">
        <x:f>ROUND(C167*$B$6/12,2)</x:f>
        <x:v>2036.76</x:v>
      </x:c>
      <x:c r="F167" s="7" t="n">
        <x:f>ROUND(D167-E167,2)</x:f>
        <x:v>1114.41</x:v>
      </x:c>
      <x:c r="G167" s="7" t="n">
        <x:f>ROUND(C167-F167,2)</x:f>
        <x:v>399559.53</x:v>
      </x:c>
      <x:c r="H167" s="7" t="n">
        <x:f>ROUND(D167-E167-F167,2)</x:f>
        <x:v>0</x:v>
      </x:c>
      <x:c r="I167" s="1" t="str">
        <x:v>Projection</x:v>
      </x:c>
    </x:row>
    <x:row r="168" ht="21" customHeight="1">
      <x:c r="A168" s="1" t="n">
        <x:v>157</x:v>
      </x:c>
      <x:c r="B168" s="6" t="n">
        <x:v>50617</x:v>
      </x:c>
      <x:c r="C168" s="7" t="n">
        <x:f>G167</x:f>
        <x:v>399559.53</x:v>
      </x:c>
      <x:c r="D168" s="7" t="n">
        <x:f>IF(A168=$B$7,ROUND(C168+E168,2),MIN($B$8,ROUND(C168+E168,2)))</x:f>
        <x:v>3151.17</x:v>
      </x:c>
      <x:c r="E168" s="7" t="n">
        <x:f>ROUND(C168*$B$6/12,2)</x:f>
        <x:v>2031.09</x:v>
      </x:c>
      <x:c r="F168" s="7" t="n">
        <x:f>ROUND(D168-E168,2)</x:f>
        <x:v>1120.08</x:v>
      </x:c>
      <x:c r="G168" s="7" t="n">
        <x:f>ROUND(C168-F168,2)</x:f>
        <x:v>398439.45</x:v>
      </x:c>
      <x:c r="H168" s="7" t="n">
        <x:f>ROUND(D168-E168-F168,2)</x:f>
        <x:v>0</x:v>
      </x:c>
      <x:c r="I168" s="1" t="str">
        <x:v>Projection</x:v>
      </x:c>
    </x:row>
    <x:row r="169" ht="21" customHeight="1">
      <x:c r="A169" s="1" t="n">
        <x:v>158</x:v>
      </x:c>
      <x:c r="B169" s="6" t="n">
        <x:v>50648</x:v>
      </x:c>
      <x:c r="C169" s="7" t="n">
        <x:f>G168</x:f>
        <x:v>398439.45</x:v>
      </x:c>
      <x:c r="D169" s="7" t="n">
        <x:f>IF(A169=$B$7,ROUND(C169+E169,2),MIN($B$8,ROUND(C169+E169,2)))</x:f>
        <x:v>3151.17</x:v>
      </x:c>
      <x:c r="E169" s="7" t="n">
        <x:f>ROUND(C169*$B$6/12,2)</x:f>
        <x:v>2025.4</x:v>
      </x:c>
      <x:c r="F169" s="7" t="n">
        <x:f>ROUND(D169-E169,2)</x:f>
        <x:v>1125.77</x:v>
      </x:c>
      <x:c r="G169" s="7" t="n">
        <x:f>ROUND(C169-F169,2)</x:f>
        <x:v>397313.68</x:v>
      </x:c>
      <x:c r="H169" s="7" t="n">
        <x:f>ROUND(D169-E169-F169,2)</x:f>
        <x:v>0</x:v>
      </x:c>
      <x:c r="I169" s="1" t="str">
        <x:v>Projection</x:v>
      </x:c>
    </x:row>
    <x:row r="170" ht="21" customHeight="1">
      <x:c r="A170" s="1" t="n">
        <x:v>159</x:v>
      </x:c>
      <x:c r="B170" s="6" t="n">
        <x:v>50678</x:v>
      </x:c>
      <x:c r="C170" s="7" t="n">
        <x:f>G169</x:f>
        <x:v>397313.68</x:v>
      </x:c>
      <x:c r="D170" s="7" t="n">
        <x:f>IF(A170=$B$7,ROUND(C170+E170,2),MIN($B$8,ROUND(C170+E170,2)))</x:f>
        <x:v>3151.17</x:v>
      </x:c>
      <x:c r="E170" s="7" t="n">
        <x:f>ROUND(C170*$B$6/12,2)</x:f>
        <x:v>2019.68</x:v>
      </x:c>
      <x:c r="F170" s="7" t="n">
        <x:f>ROUND(D170-E170,2)</x:f>
        <x:v>1131.49</x:v>
      </x:c>
      <x:c r="G170" s="7" t="n">
        <x:f>ROUND(C170-F170,2)</x:f>
        <x:v>396182.19</x:v>
      </x:c>
      <x:c r="H170" s="7" t="n">
        <x:f>ROUND(D170-E170-F170,2)</x:f>
        <x:v>0</x:v>
      </x:c>
      <x:c r="I170" s="1" t="str">
        <x:v>Projection</x:v>
      </x:c>
    </x:row>
    <x:row r="171" ht="21" customHeight="1">
      <x:c r="A171" s="1" t="n">
        <x:v>160</x:v>
      </x:c>
      <x:c r="B171" s="6" t="n">
        <x:v>50709</x:v>
      </x:c>
      <x:c r="C171" s="7" t="n">
        <x:f>G170</x:f>
        <x:v>396182.19</x:v>
      </x:c>
      <x:c r="D171" s="7" t="n">
        <x:f>IF(A171=$B$7,ROUND(C171+E171,2),MIN($B$8,ROUND(C171+E171,2)))</x:f>
        <x:v>3151.17</x:v>
      </x:c>
      <x:c r="E171" s="7" t="n">
        <x:f>ROUND(C171*$B$6/12,2)</x:f>
        <x:v>2013.93</x:v>
      </x:c>
      <x:c r="F171" s="7" t="n">
        <x:f>ROUND(D171-E171,2)</x:f>
        <x:v>1137.24</x:v>
      </x:c>
      <x:c r="G171" s="7" t="n">
        <x:f>ROUND(C171-F171,2)</x:f>
        <x:v>395044.95</x:v>
      </x:c>
      <x:c r="H171" s="7" t="n">
        <x:f>ROUND(D171-E171-F171,2)</x:f>
        <x:v>0</x:v>
      </x:c>
      <x:c r="I171" s="1" t="str">
        <x:v>Projection</x:v>
      </x:c>
    </x:row>
    <x:row r="172" ht="21" customHeight="1">
      <x:c r="A172" s="1" t="n">
        <x:v>161</x:v>
      </x:c>
      <x:c r="B172" s="6" t="n">
        <x:v>50739</x:v>
      </x:c>
      <x:c r="C172" s="7" t="n">
        <x:f>G171</x:f>
        <x:v>395044.95</x:v>
      </x:c>
      <x:c r="D172" s="7" t="n">
        <x:f>IF(A172=$B$7,ROUND(C172+E172,2),MIN($B$8,ROUND(C172+E172,2)))</x:f>
        <x:v>3151.17</x:v>
      </x:c>
      <x:c r="E172" s="7" t="n">
        <x:f>ROUND(C172*$B$6/12,2)</x:f>
        <x:v>2008.15</x:v>
      </x:c>
      <x:c r="F172" s="7" t="n">
        <x:f>ROUND(D172-E172,2)</x:f>
        <x:v>1143.02</x:v>
      </x:c>
      <x:c r="G172" s="7" t="n">
        <x:f>ROUND(C172-F172,2)</x:f>
        <x:v>393901.93</x:v>
      </x:c>
      <x:c r="H172" s="7" t="n">
        <x:f>ROUND(D172-E172-F172,2)</x:f>
        <x:v>0</x:v>
      </x:c>
      <x:c r="I172" s="1" t="str">
        <x:v>Projection</x:v>
      </x:c>
    </x:row>
    <x:row r="173" ht="21" customHeight="1">
      <x:c r="A173" s="1" t="n">
        <x:v>162</x:v>
      </x:c>
      <x:c r="B173" s="6" t="n">
        <x:v>50770</x:v>
      </x:c>
      <x:c r="C173" s="7" t="n">
        <x:f>G172</x:f>
        <x:v>393901.93</x:v>
      </x:c>
      <x:c r="D173" s="7" t="n">
        <x:f>IF(A173=$B$7,ROUND(C173+E173,2),MIN($B$8,ROUND(C173+E173,2)))</x:f>
        <x:v>3151.17</x:v>
      </x:c>
      <x:c r="E173" s="7" t="n">
        <x:f>ROUND(C173*$B$6/12,2)</x:f>
        <x:v>2002.33</x:v>
      </x:c>
      <x:c r="F173" s="7" t="n">
        <x:f>ROUND(D173-E173,2)</x:f>
        <x:v>1148.84</x:v>
      </x:c>
      <x:c r="G173" s="7" t="n">
        <x:f>ROUND(C173-F173,2)</x:f>
        <x:v>392753.09</x:v>
      </x:c>
      <x:c r="H173" s="7" t="n">
        <x:f>ROUND(D173-E173-F173,2)</x:f>
        <x:v>0</x:v>
      </x:c>
      <x:c r="I173" s="1" t="str">
        <x:v>Projection</x:v>
      </x:c>
    </x:row>
    <x:row r="174" ht="21" customHeight="1">
      <x:c r="A174" s="1" t="n">
        <x:v>163</x:v>
      </x:c>
      <x:c r="B174" s="6" t="n">
        <x:v>50801</x:v>
      </x:c>
      <x:c r="C174" s="7" t="n">
        <x:f>G173</x:f>
        <x:v>392753.09</x:v>
      </x:c>
      <x:c r="D174" s="7" t="n">
        <x:f>IF(A174=$B$7,ROUND(C174+E174,2),MIN($B$8,ROUND(C174+E174,2)))</x:f>
        <x:v>3151.17</x:v>
      </x:c>
      <x:c r="E174" s="7" t="n">
        <x:f>ROUND(C174*$B$6/12,2)</x:f>
        <x:v>1996.49</x:v>
      </x:c>
      <x:c r="F174" s="7" t="n">
        <x:f>ROUND(D174-E174,2)</x:f>
        <x:v>1154.68</x:v>
      </x:c>
      <x:c r="G174" s="7" t="n">
        <x:f>ROUND(C174-F174,2)</x:f>
        <x:v>391598.41</x:v>
      </x:c>
      <x:c r="H174" s="7" t="n">
        <x:f>ROUND(D174-E174-F174,2)</x:f>
        <x:v>0</x:v>
      </x:c>
      <x:c r="I174" s="1" t="str">
        <x:v>Projection</x:v>
      </x:c>
    </x:row>
    <x:row r="175" ht="21" customHeight="1">
      <x:c r="A175" s="1" t="n">
        <x:v>164</x:v>
      </x:c>
      <x:c r="B175" s="6" t="n">
        <x:v>50829</x:v>
      </x:c>
      <x:c r="C175" s="7" t="n">
        <x:f>G174</x:f>
        <x:v>391598.41</x:v>
      </x:c>
      <x:c r="D175" s="7" t="n">
        <x:f>IF(A175=$B$7,ROUND(C175+E175,2),MIN($B$8,ROUND(C175+E175,2)))</x:f>
        <x:v>3151.17</x:v>
      </x:c>
      <x:c r="E175" s="7" t="n">
        <x:f>ROUND(C175*$B$6/12,2)</x:f>
        <x:v>1990.63</x:v>
      </x:c>
      <x:c r="F175" s="7" t="n">
        <x:f>ROUND(D175-E175,2)</x:f>
        <x:v>1160.54</x:v>
      </x:c>
      <x:c r="G175" s="7" t="n">
        <x:f>ROUND(C175-F175,2)</x:f>
        <x:v>390437.87</x:v>
      </x:c>
      <x:c r="H175" s="7" t="n">
        <x:f>ROUND(D175-E175-F175,2)</x:f>
        <x:v>0</x:v>
      </x:c>
      <x:c r="I175" s="1" t="str">
        <x:v>Projection</x:v>
      </x:c>
    </x:row>
    <x:row r="176" ht="21" customHeight="1">
      <x:c r="A176" s="1" t="n">
        <x:v>165</x:v>
      </x:c>
      <x:c r="B176" s="6" t="n">
        <x:v>50860</x:v>
      </x:c>
      <x:c r="C176" s="7" t="n">
        <x:f>G175</x:f>
        <x:v>390437.87</x:v>
      </x:c>
      <x:c r="D176" s="7" t="n">
        <x:f>IF(A176=$B$7,ROUND(C176+E176,2),MIN($B$8,ROUND(C176+E176,2)))</x:f>
        <x:v>3151.17</x:v>
      </x:c>
      <x:c r="E176" s="7" t="n">
        <x:f>ROUND(C176*$B$6/12,2)</x:f>
        <x:v>1984.73</x:v>
      </x:c>
      <x:c r="F176" s="7" t="n">
        <x:f>ROUND(D176-E176,2)</x:f>
        <x:v>1166.44</x:v>
      </x:c>
      <x:c r="G176" s="7" t="n">
        <x:f>ROUND(C176-F176,2)</x:f>
        <x:v>389271.43</x:v>
      </x:c>
      <x:c r="H176" s="7" t="n">
        <x:f>ROUND(D176-E176-F176,2)</x:f>
        <x:v>0</x:v>
      </x:c>
      <x:c r="I176" s="1" t="str">
        <x:v>Projection</x:v>
      </x:c>
    </x:row>
    <x:row r="177" ht="21" customHeight="1">
      <x:c r="A177" s="1" t="n">
        <x:v>166</x:v>
      </x:c>
      <x:c r="B177" s="6" t="n">
        <x:v>50890</x:v>
      </x:c>
      <x:c r="C177" s="7" t="n">
        <x:f>G176</x:f>
        <x:v>389271.43</x:v>
      </x:c>
      <x:c r="D177" s="7" t="n">
        <x:f>IF(A177=$B$7,ROUND(C177+E177,2),MIN($B$8,ROUND(C177+E177,2)))</x:f>
        <x:v>3151.17</x:v>
      </x:c>
      <x:c r="E177" s="7" t="n">
        <x:f>ROUND(C177*$B$6/12,2)</x:f>
        <x:v>1978.8</x:v>
      </x:c>
      <x:c r="F177" s="7" t="n">
        <x:f>ROUND(D177-E177,2)</x:f>
        <x:v>1172.37</x:v>
      </x:c>
      <x:c r="G177" s="7" t="n">
        <x:f>ROUND(C177-F177,2)</x:f>
        <x:v>388099.06</x:v>
      </x:c>
      <x:c r="H177" s="7" t="n">
        <x:f>ROUND(D177-E177-F177,2)</x:f>
        <x:v>0</x:v>
      </x:c>
      <x:c r="I177" s="1" t="str">
        <x:v>Projection</x:v>
      </x:c>
    </x:row>
    <x:row r="178" ht="21" customHeight="1">
      <x:c r="A178" s="1" t="n">
        <x:v>167</x:v>
      </x:c>
      <x:c r="B178" s="6" t="n">
        <x:v>50921</x:v>
      </x:c>
      <x:c r="C178" s="7" t="n">
        <x:f>G177</x:f>
        <x:v>388099.06</x:v>
      </x:c>
      <x:c r="D178" s="7" t="n">
        <x:f>IF(A178=$B$7,ROUND(C178+E178,2),MIN($B$8,ROUND(C178+E178,2)))</x:f>
        <x:v>3151.17</x:v>
      </x:c>
      <x:c r="E178" s="7" t="n">
        <x:f>ROUND(C178*$B$6/12,2)</x:f>
        <x:v>1972.84</x:v>
      </x:c>
      <x:c r="F178" s="7" t="n">
        <x:f>ROUND(D178-E178,2)</x:f>
        <x:v>1178.33</x:v>
      </x:c>
      <x:c r="G178" s="7" t="n">
        <x:f>ROUND(C178-F178,2)</x:f>
        <x:v>386920.73</x:v>
      </x:c>
      <x:c r="H178" s="7" t="n">
        <x:f>ROUND(D178-E178-F178,2)</x:f>
        <x:v>0</x:v>
      </x:c>
      <x:c r="I178" s="1" t="str">
        <x:v>Projection</x:v>
      </x:c>
    </x:row>
    <x:row r="179" ht="21" customHeight="1">
      <x:c r="A179" s="1" t="n">
        <x:v>168</x:v>
      </x:c>
      <x:c r="B179" s="6" t="n">
        <x:v>50951</x:v>
      </x:c>
      <x:c r="C179" s="7" t="n">
        <x:f>G178</x:f>
        <x:v>386920.73</x:v>
      </x:c>
      <x:c r="D179" s="7" t="n">
        <x:f>IF(A179=$B$7,ROUND(C179+E179,2),MIN($B$8,ROUND(C179+E179,2)))</x:f>
        <x:v>3151.17</x:v>
      </x:c>
      <x:c r="E179" s="7" t="n">
        <x:f>ROUND(C179*$B$6/12,2)</x:f>
        <x:v>1966.85</x:v>
      </x:c>
      <x:c r="F179" s="7" t="n">
        <x:f>ROUND(D179-E179,2)</x:f>
        <x:v>1184.32</x:v>
      </x:c>
      <x:c r="G179" s="7" t="n">
        <x:f>ROUND(C179-F179,2)</x:f>
        <x:v>385736.41</x:v>
      </x:c>
      <x:c r="H179" s="7" t="n">
        <x:f>ROUND(D179-E179-F179,2)</x:f>
        <x:v>0</x:v>
      </x:c>
      <x:c r="I179" s="1" t="str">
        <x:v>Projection</x:v>
      </x:c>
    </x:row>
    <x:row r="180" ht="21" customHeight="1">
      <x:c r="A180" s="1" t="n">
        <x:v>169</x:v>
      </x:c>
      <x:c r="B180" s="6" t="n">
        <x:v>50982</x:v>
      </x:c>
      <x:c r="C180" s="7" t="n">
        <x:f>G179</x:f>
        <x:v>385736.41</x:v>
      </x:c>
      <x:c r="D180" s="7" t="n">
        <x:f>IF(A180=$B$7,ROUND(C180+E180,2),MIN($B$8,ROUND(C180+E180,2)))</x:f>
        <x:v>3151.17</x:v>
      </x:c>
      <x:c r="E180" s="7" t="n">
        <x:f>ROUND(C180*$B$6/12,2)</x:f>
        <x:v>1960.83</x:v>
      </x:c>
      <x:c r="F180" s="7" t="n">
        <x:f>ROUND(D180-E180,2)</x:f>
        <x:v>1190.34</x:v>
      </x:c>
      <x:c r="G180" s="7" t="n">
        <x:f>ROUND(C180-F180,2)</x:f>
        <x:v>384546.07</x:v>
      </x:c>
      <x:c r="H180" s="7" t="n">
        <x:f>ROUND(D180-E180-F180,2)</x:f>
        <x:v>0</x:v>
      </x:c>
      <x:c r="I180" s="1" t="str">
        <x:v>Projection</x:v>
      </x:c>
    </x:row>
    <x:row r="181" ht="21" customHeight="1">
      <x:c r="A181" s="1" t="n">
        <x:v>170</x:v>
      </x:c>
      <x:c r="B181" s="6" t="n">
        <x:v>51013</x:v>
      </x:c>
      <x:c r="C181" s="7" t="n">
        <x:f>G180</x:f>
        <x:v>384546.07</x:v>
      </x:c>
      <x:c r="D181" s="7" t="n">
        <x:f>IF(A181=$B$7,ROUND(C181+E181,2),MIN($B$8,ROUND(C181+E181,2)))</x:f>
        <x:v>3151.17</x:v>
      </x:c>
      <x:c r="E181" s="7" t="n">
        <x:f>ROUND(C181*$B$6/12,2)</x:f>
        <x:v>1954.78</x:v>
      </x:c>
      <x:c r="F181" s="7" t="n">
        <x:f>ROUND(D181-E181,2)</x:f>
        <x:v>1196.39</x:v>
      </x:c>
      <x:c r="G181" s="7" t="n">
        <x:f>ROUND(C181-F181,2)</x:f>
        <x:v>383349.68</x:v>
      </x:c>
      <x:c r="H181" s="7" t="n">
        <x:f>ROUND(D181-E181-F181,2)</x:f>
        <x:v>0</x:v>
      </x:c>
      <x:c r="I181" s="1" t="str">
        <x:v>Projection</x:v>
      </x:c>
    </x:row>
    <x:row r="182" ht="21" customHeight="1">
      <x:c r="A182" s="1" t="n">
        <x:v>171</x:v>
      </x:c>
      <x:c r="B182" s="6" t="n">
        <x:v>51043</x:v>
      </x:c>
      <x:c r="C182" s="7" t="n">
        <x:f>G181</x:f>
        <x:v>383349.68</x:v>
      </x:c>
      <x:c r="D182" s="7" t="n">
        <x:f>IF(A182=$B$7,ROUND(C182+E182,2),MIN($B$8,ROUND(C182+E182,2)))</x:f>
        <x:v>3151.17</x:v>
      </x:c>
      <x:c r="E182" s="7" t="n">
        <x:f>ROUND(C182*$B$6/12,2)</x:f>
        <x:v>1948.69</x:v>
      </x:c>
      <x:c r="F182" s="7" t="n">
        <x:f>ROUND(D182-E182,2)</x:f>
        <x:v>1202.48</x:v>
      </x:c>
      <x:c r="G182" s="7" t="n">
        <x:f>ROUND(C182-F182,2)</x:f>
        <x:v>382147.2</x:v>
      </x:c>
      <x:c r="H182" s="7" t="n">
        <x:f>ROUND(D182-E182-F182,2)</x:f>
        <x:v>0</x:v>
      </x:c>
      <x:c r="I182" s="1" t="str">
        <x:v>Projection</x:v>
      </x:c>
    </x:row>
    <x:row r="183" ht="21" customHeight="1">
      <x:c r="A183" s="1" t="n">
        <x:v>172</x:v>
      </x:c>
      <x:c r="B183" s="6" t="n">
        <x:v>51074</x:v>
      </x:c>
      <x:c r="C183" s="7" t="n">
        <x:f>G182</x:f>
        <x:v>382147.2</x:v>
      </x:c>
      <x:c r="D183" s="7" t="n">
        <x:f>IF(A183=$B$7,ROUND(C183+E183,2),MIN($B$8,ROUND(C183+E183,2)))</x:f>
        <x:v>3151.17</x:v>
      </x:c>
      <x:c r="E183" s="7" t="n">
        <x:f>ROUND(C183*$B$6/12,2)</x:f>
        <x:v>1942.58</x:v>
      </x:c>
      <x:c r="F183" s="7" t="n">
        <x:f>ROUND(D183-E183,2)</x:f>
        <x:v>1208.59</x:v>
      </x:c>
      <x:c r="G183" s="7" t="n">
        <x:f>ROUND(C183-F183,2)</x:f>
        <x:v>380938.61</x:v>
      </x:c>
      <x:c r="H183" s="7" t="n">
        <x:f>ROUND(D183-E183-F183,2)</x:f>
        <x:v>0</x:v>
      </x:c>
      <x:c r="I183" s="1" t="str">
        <x:v>Projection</x:v>
      </x:c>
    </x:row>
    <x:row r="184" ht="21" customHeight="1">
      <x:c r="A184" s="1" t="n">
        <x:v>173</x:v>
      </x:c>
      <x:c r="B184" s="6" t="n">
        <x:v>51104</x:v>
      </x:c>
      <x:c r="C184" s="7" t="n">
        <x:f>G183</x:f>
        <x:v>380938.61</x:v>
      </x:c>
      <x:c r="D184" s="7" t="n">
        <x:f>IF(A184=$B$7,ROUND(C184+E184,2),MIN($B$8,ROUND(C184+E184,2)))</x:f>
        <x:v>3151.17</x:v>
      </x:c>
      <x:c r="E184" s="7" t="n">
        <x:f>ROUND(C184*$B$6/12,2)</x:f>
        <x:v>1936.44</x:v>
      </x:c>
      <x:c r="F184" s="7" t="n">
        <x:f>ROUND(D184-E184,2)</x:f>
        <x:v>1214.73</x:v>
      </x:c>
      <x:c r="G184" s="7" t="n">
        <x:f>ROUND(C184-F184,2)</x:f>
        <x:v>379723.88</x:v>
      </x:c>
      <x:c r="H184" s="7" t="n">
        <x:f>ROUND(D184-E184-F184,2)</x:f>
        <x:v>0</x:v>
      </x:c>
      <x:c r="I184" s="1" t="str">
        <x:v>Projection</x:v>
      </x:c>
    </x:row>
    <x:row r="185" ht="21" customHeight="1">
      <x:c r="A185" s="1" t="n">
        <x:v>174</x:v>
      </x:c>
      <x:c r="B185" s="6" t="n">
        <x:v>51135</x:v>
      </x:c>
      <x:c r="C185" s="7" t="n">
        <x:f>G184</x:f>
        <x:v>379723.88</x:v>
      </x:c>
      <x:c r="D185" s="7" t="n">
        <x:f>IF(A185=$B$7,ROUND(C185+E185,2),MIN($B$8,ROUND(C185+E185,2)))</x:f>
        <x:v>3151.17</x:v>
      </x:c>
      <x:c r="E185" s="7" t="n">
        <x:f>ROUND(C185*$B$6/12,2)</x:f>
        <x:v>1930.26</x:v>
      </x:c>
      <x:c r="F185" s="7" t="n">
        <x:f>ROUND(D185-E185,2)</x:f>
        <x:v>1220.91</x:v>
      </x:c>
      <x:c r="G185" s="7" t="n">
        <x:f>ROUND(C185-F185,2)</x:f>
        <x:v>378502.97</x:v>
      </x:c>
      <x:c r="H185" s="7" t="n">
        <x:f>ROUND(D185-E185-F185,2)</x:f>
        <x:v>0</x:v>
      </x:c>
      <x:c r="I185" s="1" t="str">
        <x:v>Projection</x:v>
      </x:c>
    </x:row>
    <x:row r="186" ht="21" customHeight="1">
      <x:c r="A186" s="1" t="n">
        <x:v>175</x:v>
      </x:c>
      <x:c r="B186" s="6" t="n">
        <x:v>51166</x:v>
      </x:c>
      <x:c r="C186" s="7" t="n">
        <x:f>G185</x:f>
        <x:v>378502.97</x:v>
      </x:c>
      <x:c r="D186" s="7" t="n">
        <x:f>IF(A186=$B$7,ROUND(C186+E186,2),MIN($B$8,ROUND(C186+E186,2)))</x:f>
        <x:v>3151.17</x:v>
      </x:c>
      <x:c r="E186" s="7" t="n">
        <x:f>ROUND(C186*$B$6/12,2)</x:f>
        <x:v>1924.06</x:v>
      </x:c>
      <x:c r="F186" s="7" t="n">
        <x:f>ROUND(D186-E186,2)</x:f>
        <x:v>1227.11</x:v>
      </x:c>
      <x:c r="G186" s="7" t="n">
        <x:f>ROUND(C186-F186,2)</x:f>
        <x:v>377275.86</x:v>
      </x:c>
      <x:c r="H186" s="7" t="n">
        <x:f>ROUND(D186-E186-F186,2)</x:f>
        <x:v>0</x:v>
      </x:c>
      <x:c r="I186" s="1" t="str">
        <x:v>Projection</x:v>
      </x:c>
    </x:row>
    <x:row r="187" ht="21" customHeight="1">
      <x:c r="A187" s="1" t="n">
        <x:v>176</x:v>
      </x:c>
      <x:c r="B187" s="6" t="n">
        <x:v>51195</x:v>
      </x:c>
      <x:c r="C187" s="7" t="n">
        <x:f>G186</x:f>
        <x:v>377275.86</x:v>
      </x:c>
      <x:c r="D187" s="7" t="n">
        <x:f>IF(A187=$B$7,ROUND(C187+E187,2),MIN($B$8,ROUND(C187+E187,2)))</x:f>
        <x:v>3151.17</x:v>
      </x:c>
      <x:c r="E187" s="7" t="n">
        <x:f>ROUND(C187*$B$6/12,2)</x:f>
        <x:v>1917.82</x:v>
      </x:c>
      <x:c r="F187" s="7" t="n">
        <x:f>ROUND(D187-E187,2)</x:f>
        <x:v>1233.35</x:v>
      </x:c>
      <x:c r="G187" s="7" t="n">
        <x:f>ROUND(C187-F187,2)</x:f>
        <x:v>376042.51</x:v>
      </x:c>
      <x:c r="H187" s="7" t="n">
        <x:f>ROUND(D187-E187-F187,2)</x:f>
        <x:v>0</x:v>
      </x:c>
      <x:c r="I187" s="1" t="str">
        <x:v>Projection</x:v>
      </x:c>
    </x:row>
    <x:row r="188" ht="21" customHeight="1">
      <x:c r="A188" s="1" t="n">
        <x:v>177</x:v>
      </x:c>
      <x:c r="B188" s="6" t="n">
        <x:v>51226</x:v>
      </x:c>
      <x:c r="C188" s="7" t="n">
        <x:f>G187</x:f>
        <x:v>376042.51</x:v>
      </x:c>
      <x:c r="D188" s="7" t="n">
        <x:f>IF(A188=$B$7,ROUND(C188+E188,2),MIN($B$8,ROUND(C188+E188,2)))</x:f>
        <x:v>3151.17</x:v>
      </x:c>
      <x:c r="E188" s="7" t="n">
        <x:f>ROUND(C188*$B$6/12,2)</x:f>
        <x:v>1911.55</x:v>
      </x:c>
      <x:c r="F188" s="7" t="n">
        <x:f>ROUND(D188-E188,2)</x:f>
        <x:v>1239.62</x:v>
      </x:c>
      <x:c r="G188" s="7" t="n">
        <x:f>ROUND(C188-F188,2)</x:f>
        <x:v>374802.89</x:v>
      </x:c>
      <x:c r="H188" s="7" t="n">
        <x:f>ROUND(D188-E188-F188,2)</x:f>
        <x:v>0</x:v>
      </x:c>
      <x:c r="I188" s="1" t="str">
        <x:v>Projection</x:v>
      </x:c>
    </x:row>
    <x:row r="189" ht="21" customHeight="1">
      <x:c r="A189" s="1" t="n">
        <x:v>178</x:v>
      </x:c>
      <x:c r="B189" s="6" t="n">
        <x:v>51256</x:v>
      </x:c>
      <x:c r="C189" s="7" t="n">
        <x:f>G188</x:f>
        <x:v>374802.89</x:v>
      </x:c>
      <x:c r="D189" s="7" t="n">
        <x:f>IF(A189=$B$7,ROUND(C189+E189,2),MIN($B$8,ROUND(C189+E189,2)))</x:f>
        <x:v>3151.17</x:v>
      </x:c>
      <x:c r="E189" s="7" t="n">
        <x:f>ROUND(C189*$B$6/12,2)</x:f>
        <x:v>1905.25</x:v>
      </x:c>
      <x:c r="F189" s="7" t="n">
        <x:f>ROUND(D189-E189,2)</x:f>
        <x:v>1245.92</x:v>
      </x:c>
      <x:c r="G189" s="7" t="n">
        <x:f>ROUND(C189-F189,2)</x:f>
        <x:v>373556.97</x:v>
      </x:c>
      <x:c r="H189" s="7" t="n">
        <x:f>ROUND(D189-E189-F189,2)</x:f>
        <x:v>0</x:v>
      </x:c>
      <x:c r="I189" s="1" t="str">
        <x:v>Projection</x:v>
      </x:c>
    </x:row>
    <x:row r="190" ht="21" customHeight="1">
      <x:c r="A190" s="1" t="n">
        <x:v>179</x:v>
      </x:c>
      <x:c r="B190" s="6" t="n">
        <x:v>51287</x:v>
      </x:c>
      <x:c r="C190" s="7" t="n">
        <x:f>G189</x:f>
        <x:v>373556.97</x:v>
      </x:c>
      <x:c r="D190" s="7" t="n">
        <x:f>IF(A190=$B$7,ROUND(C190+E190,2),MIN($B$8,ROUND(C190+E190,2)))</x:f>
        <x:v>3151.17</x:v>
      </x:c>
      <x:c r="E190" s="7" t="n">
        <x:f>ROUND(C190*$B$6/12,2)</x:f>
        <x:v>1898.91</x:v>
      </x:c>
      <x:c r="F190" s="7" t="n">
        <x:f>ROUND(D190-E190,2)</x:f>
        <x:v>1252.26</x:v>
      </x:c>
      <x:c r="G190" s="7" t="n">
        <x:f>ROUND(C190-F190,2)</x:f>
        <x:v>372304.71</x:v>
      </x:c>
      <x:c r="H190" s="7" t="n">
        <x:f>ROUND(D190-E190-F190,2)</x:f>
        <x:v>0</x:v>
      </x:c>
      <x:c r="I190" s="1" t="str">
        <x:v>Projection</x:v>
      </x:c>
    </x:row>
    <x:row r="191" ht="21" customHeight="1">
      <x:c r="A191" s="1" t="n">
        <x:v>180</x:v>
      </x:c>
      <x:c r="B191" s="6" t="n">
        <x:v>51317</x:v>
      </x:c>
      <x:c r="C191" s="7" t="n">
        <x:f>G190</x:f>
        <x:v>372304.71</x:v>
      </x:c>
      <x:c r="D191" s="7" t="n">
        <x:f>IF(A191=$B$7,ROUND(C191+E191,2),MIN($B$8,ROUND(C191+E191,2)))</x:f>
        <x:v>3151.17</x:v>
      </x:c>
      <x:c r="E191" s="7" t="n">
        <x:f>ROUND(C191*$B$6/12,2)</x:f>
        <x:v>1892.55</x:v>
      </x:c>
      <x:c r="F191" s="7" t="n">
        <x:f>ROUND(D191-E191,2)</x:f>
        <x:v>1258.62</x:v>
      </x:c>
      <x:c r="G191" s="7" t="n">
        <x:f>ROUND(C191-F191,2)</x:f>
        <x:v>371046.09</x:v>
      </x:c>
      <x:c r="H191" s="7" t="n">
        <x:f>ROUND(D191-E191-F191,2)</x:f>
        <x:v>0</x:v>
      </x:c>
      <x:c r="I191" s="1" t="str">
        <x:v>Projection</x:v>
      </x:c>
    </x:row>
    <x:row r="192" ht="21" customHeight="1">
      <x:c r="A192" s="1" t="n">
        <x:v>181</x:v>
      </x:c>
      <x:c r="B192" s="6" t="n">
        <x:v>51348</x:v>
      </x:c>
      <x:c r="C192" s="7" t="n">
        <x:f>G191</x:f>
        <x:v>371046.09</x:v>
      </x:c>
      <x:c r="D192" s="7" t="n">
        <x:f>IF(A192=$B$7,ROUND(C192+E192,2),MIN($B$8,ROUND(C192+E192,2)))</x:f>
        <x:v>3151.17</x:v>
      </x:c>
      <x:c r="E192" s="7" t="n">
        <x:f>ROUND(C192*$B$6/12,2)</x:f>
        <x:v>1886.15</x:v>
      </x:c>
      <x:c r="F192" s="7" t="n">
        <x:f>ROUND(D192-E192,2)</x:f>
        <x:v>1265.02</x:v>
      </x:c>
      <x:c r="G192" s="7" t="n">
        <x:f>ROUND(C192-F192,2)</x:f>
        <x:v>369781.07</x:v>
      </x:c>
      <x:c r="H192" s="7" t="n">
        <x:f>ROUND(D192-E192-F192,2)</x:f>
        <x:v>0</x:v>
      </x:c>
      <x:c r="I192" s="1" t="str">
        <x:v>Projection</x:v>
      </x:c>
    </x:row>
    <x:row r="193" ht="21" customHeight="1">
      <x:c r="A193" s="1" t="n">
        <x:v>182</x:v>
      </x:c>
      <x:c r="B193" s="6" t="n">
        <x:v>51379</x:v>
      </x:c>
      <x:c r="C193" s="7" t="n">
        <x:f>G192</x:f>
        <x:v>369781.07</x:v>
      </x:c>
      <x:c r="D193" s="7" t="n">
        <x:f>IF(A193=$B$7,ROUND(C193+E193,2),MIN($B$8,ROUND(C193+E193,2)))</x:f>
        <x:v>3151.17</x:v>
      </x:c>
      <x:c r="E193" s="7" t="n">
        <x:f>ROUND(C193*$B$6/12,2)</x:f>
        <x:v>1879.72</x:v>
      </x:c>
      <x:c r="F193" s="7" t="n">
        <x:f>ROUND(D193-E193,2)</x:f>
        <x:v>1271.45</x:v>
      </x:c>
      <x:c r="G193" s="7" t="n">
        <x:f>ROUND(C193-F193,2)</x:f>
        <x:v>368509.62</x:v>
      </x:c>
      <x:c r="H193" s="7" t="n">
        <x:f>ROUND(D193-E193-F193,2)</x:f>
        <x:v>0</x:v>
      </x:c>
      <x:c r="I193" s="1" t="str">
        <x:v>Projection</x:v>
      </x:c>
    </x:row>
    <x:row r="194" ht="21" customHeight="1">
      <x:c r="A194" s="1" t="n">
        <x:v>183</x:v>
      </x:c>
      <x:c r="B194" s="6" t="n">
        <x:v>51409</x:v>
      </x:c>
      <x:c r="C194" s="7" t="n">
        <x:f>G193</x:f>
        <x:v>368509.62</x:v>
      </x:c>
      <x:c r="D194" s="7" t="n">
        <x:f>IF(A194=$B$7,ROUND(C194+E194,2),MIN($B$8,ROUND(C194+E194,2)))</x:f>
        <x:v>3151.17</x:v>
      </x:c>
      <x:c r="E194" s="7" t="n">
        <x:f>ROUND(C194*$B$6/12,2)</x:f>
        <x:v>1873.26</x:v>
      </x:c>
      <x:c r="F194" s="7" t="n">
        <x:f>ROUND(D194-E194,2)</x:f>
        <x:v>1277.91</x:v>
      </x:c>
      <x:c r="G194" s="7" t="n">
        <x:f>ROUND(C194-F194,2)</x:f>
        <x:v>367231.71</x:v>
      </x:c>
      <x:c r="H194" s="7" t="n">
        <x:f>ROUND(D194-E194-F194,2)</x:f>
        <x:v>0</x:v>
      </x:c>
      <x:c r="I194" s="1" t="str">
        <x:v>Projection</x:v>
      </x:c>
    </x:row>
    <x:row r="195" ht="21" customHeight="1">
      <x:c r="A195" s="1" t="n">
        <x:v>184</x:v>
      </x:c>
      <x:c r="B195" s="6" t="n">
        <x:v>51440</x:v>
      </x:c>
      <x:c r="C195" s="7" t="n">
        <x:f>G194</x:f>
        <x:v>367231.71</x:v>
      </x:c>
      <x:c r="D195" s="7" t="n">
        <x:f>IF(A195=$B$7,ROUND(C195+E195,2),MIN($B$8,ROUND(C195+E195,2)))</x:f>
        <x:v>3151.17</x:v>
      </x:c>
      <x:c r="E195" s="7" t="n">
        <x:f>ROUND(C195*$B$6/12,2)</x:f>
        <x:v>1866.76</x:v>
      </x:c>
      <x:c r="F195" s="7" t="n">
        <x:f>ROUND(D195-E195,2)</x:f>
        <x:v>1284.41</x:v>
      </x:c>
      <x:c r="G195" s="7" t="n">
        <x:f>ROUND(C195-F195,2)</x:f>
        <x:v>365947.3</x:v>
      </x:c>
      <x:c r="H195" s="7" t="n">
        <x:f>ROUND(D195-E195-F195,2)</x:f>
        <x:v>0</x:v>
      </x:c>
      <x:c r="I195" s="1" t="str">
        <x:v>Projection</x:v>
      </x:c>
    </x:row>
    <x:row r="196" ht="21" customHeight="1">
      <x:c r="A196" s="1" t="n">
        <x:v>185</x:v>
      </x:c>
      <x:c r="B196" s="6" t="n">
        <x:v>51470</x:v>
      </x:c>
      <x:c r="C196" s="7" t="n">
        <x:f>G195</x:f>
        <x:v>365947.3</x:v>
      </x:c>
      <x:c r="D196" s="7" t="n">
        <x:f>IF(A196=$B$7,ROUND(C196+E196,2),MIN($B$8,ROUND(C196+E196,2)))</x:f>
        <x:v>3151.17</x:v>
      </x:c>
      <x:c r="E196" s="7" t="n">
        <x:f>ROUND(C196*$B$6/12,2)</x:f>
        <x:v>1860.23</x:v>
      </x:c>
      <x:c r="F196" s="7" t="n">
        <x:f>ROUND(D196-E196,2)</x:f>
        <x:v>1290.94</x:v>
      </x:c>
      <x:c r="G196" s="7" t="n">
        <x:f>ROUND(C196-F196,2)</x:f>
        <x:v>364656.36</x:v>
      </x:c>
      <x:c r="H196" s="7" t="n">
        <x:f>ROUND(D196-E196-F196,2)</x:f>
        <x:v>0</x:v>
      </x:c>
      <x:c r="I196" s="1" t="str">
        <x:v>Projection</x:v>
      </x:c>
    </x:row>
    <x:row r="197" ht="21" customHeight="1">
      <x:c r="A197" s="1" t="n">
        <x:v>186</x:v>
      </x:c>
      <x:c r="B197" s="6" t="n">
        <x:v>51501</x:v>
      </x:c>
      <x:c r="C197" s="7" t="n">
        <x:f>G196</x:f>
        <x:v>364656.36</x:v>
      </x:c>
      <x:c r="D197" s="7" t="n">
        <x:f>IF(A197=$B$7,ROUND(C197+E197,2),MIN($B$8,ROUND(C197+E197,2)))</x:f>
        <x:v>3151.17</x:v>
      </x:c>
      <x:c r="E197" s="7" t="n">
        <x:f>ROUND(C197*$B$6/12,2)</x:f>
        <x:v>1853.67</x:v>
      </x:c>
      <x:c r="F197" s="7" t="n">
        <x:f>ROUND(D197-E197,2)</x:f>
        <x:v>1297.5</x:v>
      </x:c>
      <x:c r="G197" s="7" t="n">
        <x:f>ROUND(C197-F197,2)</x:f>
        <x:v>363358.86</x:v>
      </x:c>
      <x:c r="H197" s="7" t="n">
        <x:f>ROUND(D197-E197-F197,2)</x:f>
        <x:v>0</x:v>
      </x:c>
      <x:c r="I197" s="1" t="str">
        <x:v>Projection</x:v>
      </x:c>
    </x:row>
    <x:row r="198" ht="21" customHeight="1">
      <x:c r="A198" s="1" t="n">
        <x:v>187</x:v>
      </x:c>
      <x:c r="B198" s="6" t="n">
        <x:v>51532</x:v>
      </x:c>
      <x:c r="C198" s="7" t="n">
        <x:f>G197</x:f>
        <x:v>363358.86</x:v>
      </x:c>
      <x:c r="D198" s="7" t="n">
        <x:f>IF(A198=$B$7,ROUND(C198+E198,2),MIN($B$8,ROUND(C198+E198,2)))</x:f>
        <x:v>3151.17</x:v>
      </x:c>
      <x:c r="E198" s="7" t="n">
        <x:f>ROUND(C198*$B$6/12,2)</x:f>
        <x:v>1847.07</x:v>
      </x:c>
      <x:c r="F198" s="7" t="n">
        <x:f>ROUND(D198-E198,2)</x:f>
        <x:v>1304.1</x:v>
      </x:c>
      <x:c r="G198" s="7" t="n">
        <x:f>ROUND(C198-F198,2)</x:f>
        <x:v>362054.76</x:v>
      </x:c>
      <x:c r="H198" s="7" t="n">
        <x:f>ROUND(D198-E198-F198,2)</x:f>
        <x:v>0</x:v>
      </x:c>
      <x:c r="I198" s="1" t="str">
        <x:v>Projection</x:v>
      </x:c>
    </x:row>
    <x:row r="199" ht="21" customHeight="1">
      <x:c r="A199" s="1" t="n">
        <x:v>188</x:v>
      </x:c>
      <x:c r="B199" s="6" t="n">
        <x:v>51560</x:v>
      </x:c>
      <x:c r="C199" s="7" t="n">
        <x:f>G198</x:f>
        <x:v>362054.76</x:v>
      </x:c>
      <x:c r="D199" s="7" t="n">
        <x:f>IF(A199=$B$7,ROUND(C199+E199,2),MIN($B$8,ROUND(C199+E199,2)))</x:f>
        <x:v>3151.17</x:v>
      </x:c>
      <x:c r="E199" s="7" t="n">
        <x:f>ROUND(C199*$B$6/12,2)</x:f>
        <x:v>1840.45</x:v>
      </x:c>
      <x:c r="F199" s="7" t="n">
        <x:f>ROUND(D199-E199,2)</x:f>
        <x:v>1310.72</x:v>
      </x:c>
      <x:c r="G199" s="7" t="n">
        <x:f>ROUND(C199-F199,2)</x:f>
        <x:v>360744.04</x:v>
      </x:c>
      <x:c r="H199" s="7" t="n">
        <x:f>ROUND(D199-E199-F199,2)</x:f>
        <x:v>0</x:v>
      </x:c>
      <x:c r="I199" s="1" t="str">
        <x:v>Projection</x:v>
      </x:c>
    </x:row>
    <x:row r="200" ht="21" customHeight="1">
      <x:c r="A200" s="1" t="n">
        <x:v>189</x:v>
      </x:c>
      <x:c r="B200" s="6" t="n">
        <x:v>51591</x:v>
      </x:c>
      <x:c r="C200" s="7" t="n">
        <x:f>G199</x:f>
        <x:v>360744.04</x:v>
      </x:c>
      <x:c r="D200" s="7" t="n">
        <x:f>IF(A200=$B$7,ROUND(C200+E200,2),MIN($B$8,ROUND(C200+E200,2)))</x:f>
        <x:v>3151.17</x:v>
      </x:c>
      <x:c r="E200" s="7" t="n">
        <x:f>ROUND(C200*$B$6/12,2)</x:f>
        <x:v>1833.78</x:v>
      </x:c>
      <x:c r="F200" s="7" t="n">
        <x:f>ROUND(D200-E200,2)</x:f>
        <x:v>1317.39</x:v>
      </x:c>
      <x:c r="G200" s="7" t="n">
        <x:f>ROUND(C200-F200,2)</x:f>
        <x:v>359426.65</x:v>
      </x:c>
      <x:c r="H200" s="7" t="n">
        <x:f>ROUND(D200-E200-F200,2)</x:f>
        <x:v>0</x:v>
      </x:c>
      <x:c r="I200" s="1" t="str">
        <x:v>Projection</x:v>
      </x:c>
    </x:row>
    <x:row r="201" ht="21" customHeight="1">
      <x:c r="A201" s="1" t="n">
        <x:v>190</x:v>
      </x:c>
      <x:c r="B201" s="6" t="n">
        <x:v>51621</x:v>
      </x:c>
      <x:c r="C201" s="7" t="n">
        <x:f>G200</x:f>
        <x:v>359426.65</x:v>
      </x:c>
      <x:c r="D201" s="7" t="n">
        <x:f>IF(A201=$B$7,ROUND(C201+E201,2),MIN($B$8,ROUND(C201+E201,2)))</x:f>
        <x:v>3151.17</x:v>
      </x:c>
      <x:c r="E201" s="7" t="n">
        <x:f>ROUND(C201*$B$6/12,2)</x:f>
        <x:v>1827.09</x:v>
      </x:c>
      <x:c r="F201" s="7" t="n">
        <x:f>ROUND(D201-E201,2)</x:f>
        <x:v>1324.08</x:v>
      </x:c>
      <x:c r="G201" s="7" t="n">
        <x:f>ROUND(C201-F201,2)</x:f>
        <x:v>358102.57</x:v>
      </x:c>
      <x:c r="H201" s="7" t="n">
        <x:f>ROUND(D201-E201-F201,2)</x:f>
        <x:v>0</x:v>
      </x:c>
      <x:c r="I201" s="1" t="str">
        <x:v>Projection</x:v>
      </x:c>
    </x:row>
    <x:row r="202" ht="21" customHeight="1">
      <x:c r="A202" s="1" t="n">
        <x:v>191</x:v>
      </x:c>
      <x:c r="B202" s="6" t="n">
        <x:v>51652</x:v>
      </x:c>
      <x:c r="C202" s="7" t="n">
        <x:f>G201</x:f>
        <x:v>358102.57</x:v>
      </x:c>
      <x:c r="D202" s="7" t="n">
        <x:f>IF(A202=$B$7,ROUND(C202+E202,2),MIN($B$8,ROUND(C202+E202,2)))</x:f>
        <x:v>3151.17</x:v>
      </x:c>
      <x:c r="E202" s="7" t="n">
        <x:f>ROUND(C202*$B$6/12,2)</x:f>
        <x:v>1820.35</x:v>
      </x:c>
      <x:c r="F202" s="7" t="n">
        <x:f>ROUND(D202-E202,2)</x:f>
        <x:v>1330.82</x:v>
      </x:c>
      <x:c r="G202" s="7" t="n">
        <x:f>ROUND(C202-F202,2)</x:f>
        <x:v>356771.75</x:v>
      </x:c>
      <x:c r="H202" s="7" t="n">
        <x:f>ROUND(D202-E202-F202,2)</x:f>
        <x:v>0</x:v>
      </x:c>
      <x:c r="I202" s="1" t="str">
        <x:v>Projection</x:v>
      </x:c>
    </x:row>
    <x:row r="203" ht="21" customHeight="1">
      <x:c r="A203" s="1" t="n">
        <x:v>192</x:v>
      </x:c>
      <x:c r="B203" s="6" t="n">
        <x:v>51682</x:v>
      </x:c>
      <x:c r="C203" s="7" t="n">
        <x:f>G202</x:f>
        <x:v>356771.75</x:v>
      </x:c>
      <x:c r="D203" s="7" t="n">
        <x:f>IF(A203=$B$7,ROUND(C203+E203,2),MIN($B$8,ROUND(C203+E203,2)))</x:f>
        <x:v>3151.17</x:v>
      </x:c>
      <x:c r="E203" s="7" t="n">
        <x:f>ROUND(C203*$B$6/12,2)</x:f>
        <x:v>1813.59</x:v>
      </x:c>
      <x:c r="F203" s="7" t="n">
        <x:f>ROUND(D203-E203,2)</x:f>
        <x:v>1337.58</x:v>
      </x:c>
      <x:c r="G203" s="7" t="n">
        <x:f>ROUND(C203-F203,2)</x:f>
        <x:v>355434.17</x:v>
      </x:c>
      <x:c r="H203" s="7" t="n">
        <x:f>ROUND(D203-E203-F203,2)</x:f>
        <x:v>0</x:v>
      </x:c>
      <x:c r="I203" s="1" t="str">
        <x:v>Projection</x:v>
      </x:c>
    </x:row>
    <x:row r="204" ht="21" customHeight="1">
      <x:c r="A204" s="1" t="n">
        <x:v>193</x:v>
      </x:c>
      <x:c r="B204" s="6" t="n">
        <x:v>51713</x:v>
      </x:c>
      <x:c r="C204" s="7" t="n">
        <x:f>G203</x:f>
        <x:v>355434.17</x:v>
      </x:c>
      <x:c r="D204" s="7" t="n">
        <x:f>IF(A204=$B$7,ROUND(C204+E204,2),MIN($B$8,ROUND(C204+E204,2)))</x:f>
        <x:v>3151.17</x:v>
      </x:c>
      <x:c r="E204" s="7" t="n">
        <x:f>ROUND(C204*$B$6/12,2)</x:f>
        <x:v>1806.79</x:v>
      </x:c>
      <x:c r="F204" s="7" t="n">
        <x:f>ROUND(D204-E204,2)</x:f>
        <x:v>1344.38</x:v>
      </x:c>
      <x:c r="G204" s="7" t="n">
        <x:f>ROUND(C204-F204,2)</x:f>
        <x:v>354089.79</x:v>
      </x:c>
      <x:c r="H204" s="7" t="n">
        <x:f>ROUND(D204-E204-F204,2)</x:f>
        <x:v>0</x:v>
      </x:c>
      <x:c r="I204" s="1" t="str">
        <x:v>Projection</x:v>
      </x:c>
    </x:row>
    <x:row r="205" ht="21" customHeight="1">
      <x:c r="A205" s="1" t="n">
        <x:v>194</x:v>
      </x:c>
      <x:c r="B205" s="6" t="n">
        <x:v>51744</x:v>
      </x:c>
      <x:c r="C205" s="7" t="n">
        <x:f>G204</x:f>
        <x:v>354089.79</x:v>
      </x:c>
      <x:c r="D205" s="7" t="n">
        <x:f>IF(A205=$B$7,ROUND(C205+E205,2),MIN($B$8,ROUND(C205+E205,2)))</x:f>
        <x:v>3151.17</x:v>
      </x:c>
      <x:c r="E205" s="7" t="n">
        <x:f>ROUND(C205*$B$6/12,2)</x:f>
        <x:v>1799.96</x:v>
      </x:c>
      <x:c r="F205" s="7" t="n">
        <x:f>ROUND(D205-E205,2)</x:f>
        <x:v>1351.21</x:v>
      </x:c>
      <x:c r="G205" s="7" t="n">
        <x:f>ROUND(C205-F205,2)</x:f>
        <x:v>352738.58</x:v>
      </x:c>
      <x:c r="H205" s="7" t="n">
        <x:f>ROUND(D205-E205-F205,2)</x:f>
        <x:v>0</x:v>
      </x:c>
      <x:c r="I205" s="1" t="str">
        <x:v>Projection</x:v>
      </x:c>
    </x:row>
    <x:row r="206" ht="21" customHeight="1">
      <x:c r="A206" s="1" t="n">
        <x:v>195</x:v>
      </x:c>
      <x:c r="B206" s="6" t="n">
        <x:v>51774</x:v>
      </x:c>
      <x:c r="C206" s="7" t="n">
        <x:f>G205</x:f>
        <x:v>352738.58</x:v>
      </x:c>
      <x:c r="D206" s="7" t="n">
        <x:f>IF(A206=$B$7,ROUND(C206+E206,2),MIN($B$8,ROUND(C206+E206,2)))</x:f>
        <x:v>3151.17</x:v>
      </x:c>
      <x:c r="E206" s="7" t="n">
        <x:f>ROUND(C206*$B$6/12,2)</x:f>
        <x:v>1793.09</x:v>
      </x:c>
      <x:c r="F206" s="7" t="n">
        <x:f>ROUND(D206-E206,2)</x:f>
        <x:v>1358.08</x:v>
      </x:c>
      <x:c r="G206" s="7" t="n">
        <x:f>ROUND(C206-F206,2)</x:f>
        <x:v>351380.5</x:v>
      </x:c>
      <x:c r="H206" s="7" t="n">
        <x:f>ROUND(D206-E206-F206,2)</x:f>
        <x:v>0</x:v>
      </x:c>
      <x:c r="I206" s="1" t="str">
        <x:v>Projection</x:v>
      </x:c>
    </x:row>
    <x:row r="207" ht="21" customHeight="1">
      <x:c r="A207" s="1" t="n">
        <x:v>196</x:v>
      </x:c>
      <x:c r="B207" s="6" t="n">
        <x:v>51805</x:v>
      </x:c>
      <x:c r="C207" s="7" t="n">
        <x:f>G206</x:f>
        <x:v>351380.5</x:v>
      </x:c>
      <x:c r="D207" s="7" t="n">
        <x:f>IF(A207=$B$7,ROUND(C207+E207,2),MIN($B$8,ROUND(C207+E207,2)))</x:f>
        <x:v>3151.17</x:v>
      </x:c>
      <x:c r="E207" s="7" t="n">
        <x:f>ROUND(C207*$B$6/12,2)</x:f>
        <x:v>1786.18</x:v>
      </x:c>
      <x:c r="F207" s="7" t="n">
        <x:f>ROUND(D207-E207,2)</x:f>
        <x:v>1364.99</x:v>
      </x:c>
      <x:c r="G207" s="7" t="n">
        <x:f>ROUND(C207-F207,2)</x:f>
        <x:v>350015.51</x:v>
      </x:c>
      <x:c r="H207" s="7" t="n">
        <x:f>ROUND(D207-E207-F207,2)</x:f>
        <x:v>0</x:v>
      </x:c>
      <x:c r="I207" s="1" t="str">
        <x:v>Projection</x:v>
      </x:c>
    </x:row>
    <x:row r="208" ht="21" customHeight="1">
      <x:c r="A208" s="1" t="n">
        <x:v>197</x:v>
      </x:c>
      <x:c r="B208" s="6" t="n">
        <x:v>51835</x:v>
      </x:c>
      <x:c r="C208" s="7" t="n">
        <x:f>G207</x:f>
        <x:v>350015.51</x:v>
      </x:c>
      <x:c r="D208" s="7" t="n">
        <x:f>IF(A208=$B$7,ROUND(C208+E208,2),MIN($B$8,ROUND(C208+E208,2)))</x:f>
        <x:v>3151.17</x:v>
      </x:c>
      <x:c r="E208" s="7" t="n">
        <x:f>ROUND(C208*$B$6/12,2)</x:f>
        <x:v>1779.25</x:v>
      </x:c>
      <x:c r="F208" s="7" t="n">
        <x:f>ROUND(D208-E208,2)</x:f>
        <x:v>1371.92</x:v>
      </x:c>
      <x:c r="G208" s="7" t="n">
        <x:f>ROUND(C208-F208,2)</x:f>
        <x:v>348643.59</x:v>
      </x:c>
      <x:c r="H208" s="7" t="n">
        <x:f>ROUND(D208-E208-F208,2)</x:f>
        <x:v>0</x:v>
      </x:c>
      <x:c r="I208" s="1" t="str">
        <x:v>Projection</x:v>
      </x:c>
    </x:row>
    <x:row r="209" ht="21" customHeight="1">
      <x:c r="A209" s="1" t="n">
        <x:v>198</x:v>
      </x:c>
      <x:c r="B209" s="6" t="n">
        <x:v>51866</x:v>
      </x:c>
      <x:c r="C209" s="7" t="n">
        <x:f>G208</x:f>
        <x:v>348643.59</x:v>
      </x:c>
      <x:c r="D209" s="7" t="n">
        <x:f>IF(A209=$B$7,ROUND(C209+E209,2),MIN($B$8,ROUND(C209+E209,2)))</x:f>
        <x:v>3151.17</x:v>
      </x:c>
      <x:c r="E209" s="7" t="n">
        <x:f>ROUND(C209*$B$6/12,2)</x:f>
        <x:v>1772.27</x:v>
      </x:c>
      <x:c r="F209" s="7" t="n">
        <x:f>ROUND(D209-E209,2)</x:f>
        <x:v>1378.9</x:v>
      </x:c>
      <x:c r="G209" s="7" t="n">
        <x:f>ROUND(C209-F209,2)</x:f>
        <x:v>347264.69</x:v>
      </x:c>
      <x:c r="H209" s="7" t="n">
        <x:f>ROUND(D209-E209-F209,2)</x:f>
        <x:v>0</x:v>
      </x:c>
      <x:c r="I209" s="1" t="str">
        <x:v>Projection</x:v>
      </x:c>
    </x:row>
    <x:row r="210" ht="21" customHeight="1">
      <x:c r="A210" s="1" t="n">
        <x:v>199</x:v>
      </x:c>
      <x:c r="B210" s="6" t="n">
        <x:v>51897</x:v>
      </x:c>
      <x:c r="C210" s="7" t="n">
        <x:f>G209</x:f>
        <x:v>347264.69</x:v>
      </x:c>
      <x:c r="D210" s="7" t="n">
        <x:f>IF(A210=$B$7,ROUND(C210+E210,2),MIN($B$8,ROUND(C210+E210,2)))</x:f>
        <x:v>3151.17</x:v>
      </x:c>
      <x:c r="E210" s="7" t="n">
        <x:f>ROUND(C210*$B$6/12,2)</x:f>
        <x:v>1765.26</x:v>
      </x:c>
      <x:c r="F210" s="7" t="n">
        <x:f>ROUND(D210-E210,2)</x:f>
        <x:v>1385.91</x:v>
      </x:c>
      <x:c r="G210" s="7" t="n">
        <x:f>ROUND(C210-F210,2)</x:f>
        <x:v>345878.78</x:v>
      </x:c>
      <x:c r="H210" s="7" t="n">
        <x:f>ROUND(D210-E210-F210,2)</x:f>
        <x:v>0</x:v>
      </x:c>
      <x:c r="I210" s="1" t="str">
        <x:v>Projection</x:v>
      </x:c>
    </x:row>
    <x:row r="211" ht="21" customHeight="1">
      <x:c r="A211" s="1" t="n">
        <x:v>200</x:v>
      </x:c>
      <x:c r="B211" s="6" t="n">
        <x:v>51925</x:v>
      </x:c>
      <x:c r="C211" s="7" t="n">
        <x:f>G210</x:f>
        <x:v>345878.78</x:v>
      </x:c>
      <x:c r="D211" s="7" t="n">
        <x:f>IF(A211=$B$7,ROUND(C211+E211,2),MIN($B$8,ROUND(C211+E211,2)))</x:f>
        <x:v>3151.17</x:v>
      </x:c>
      <x:c r="E211" s="7" t="n">
        <x:f>ROUND(C211*$B$6/12,2)</x:f>
        <x:v>1758.22</x:v>
      </x:c>
      <x:c r="F211" s="7" t="n">
        <x:f>ROUND(D211-E211,2)</x:f>
        <x:v>1392.95</x:v>
      </x:c>
      <x:c r="G211" s="7" t="n">
        <x:f>ROUND(C211-F211,2)</x:f>
        <x:v>344485.83</x:v>
      </x:c>
      <x:c r="H211" s="7" t="n">
        <x:f>ROUND(D211-E211-F211,2)</x:f>
        <x:v>0</x:v>
      </x:c>
      <x:c r="I211" s="1" t="str">
        <x:v>Projection</x:v>
      </x:c>
    </x:row>
    <x:row r="212" ht="21" customHeight="1">
      <x:c r="A212" s="1" t="n">
        <x:v>201</x:v>
      </x:c>
      <x:c r="B212" s="6" t="n">
        <x:v>51956</x:v>
      </x:c>
      <x:c r="C212" s="7" t="n">
        <x:f>G211</x:f>
        <x:v>344485.83</x:v>
      </x:c>
      <x:c r="D212" s="7" t="n">
        <x:f>IF(A212=$B$7,ROUND(C212+E212,2),MIN($B$8,ROUND(C212+E212,2)))</x:f>
        <x:v>3151.17</x:v>
      </x:c>
      <x:c r="E212" s="7" t="n">
        <x:f>ROUND(C212*$B$6/12,2)</x:f>
        <x:v>1751.14</x:v>
      </x:c>
      <x:c r="F212" s="7" t="n">
        <x:f>ROUND(D212-E212,2)</x:f>
        <x:v>1400.03</x:v>
      </x:c>
      <x:c r="G212" s="7" t="n">
        <x:f>ROUND(C212-F212,2)</x:f>
        <x:v>343085.8</x:v>
      </x:c>
      <x:c r="H212" s="7" t="n">
        <x:f>ROUND(D212-E212-F212,2)</x:f>
        <x:v>0</x:v>
      </x:c>
      <x:c r="I212" s="1" t="str">
        <x:v>Projection</x:v>
      </x:c>
    </x:row>
    <x:row r="213" ht="21" customHeight="1">
      <x:c r="A213" s="1" t="n">
        <x:v>202</x:v>
      </x:c>
      <x:c r="B213" s="6" t="n">
        <x:v>51986</x:v>
      </x:c>
      <x:c r="C213" s="7" t="n">
        <x:f>G212</x:f>
        <x:v>343085.8</x:v>
      </x:c>
      <x:c r="D213" s="7" t="n">
        <x:f>IF(A213=$B$7,ROUND(C213+E213,2),MIN($B$8,ROUND(C213+E213,2)))</x:f>
        <x:v>3151.17</x:v>
      </x:c>
      <x:c r="E213" s="7" t="n">
        <x:f>ROUND(C213*$B$6/12,2)</x:f>
        <x:v>1744.02</x:v>
      </x:c>
      <x:c r="F213" s="7" t="n">
        <x:f>ROUND(D213-E213,2)</x:f>
        <x:v>1407.15</x:v>
      </x:c>
      <x:c r="G213" s="7" t="n">
        <x:f>ROUND(C213-F213,2)</x:f>
        <x:v>341678.65</x:v>
      </x:c>
      <x:c r="H213" s="7" t="n">
        <x:f>ROUND(D213-E213-F213,2)</x:f>
        <x:v>0</x:v>
      </x:c>
      <x:c r="I213" s="1" t="str">
        <x:v>Projection</x:v>
      </x:c>
    </x:row>
    <x:row r="214" ht="21" customHeight="1">
      <x:c r="A214" s="1" t="n">
        <x:v>203</x:v>
      </x:c>
      <x:c r="B214" s="6" t="n">
        <x:v>52017</x:v>
      </x:c>
      <x:c r="C214" s="7" t="n">
        <x:f>G213</x:f>
        <x:v>341678.65</x:v>
      </x:c>
      <x:c r="D214" s="7" t="n">
        <x:f>IF(A214=$B$7,ROUND(C214+E214,2),MIN($B$8,ROUND(C214+E214,2)))</x:f>
        <x:v>3151.17</x:v>
      </x:c>
      <x:c r="E214" s="7" t="n">
        <x:f>ROUND(C214*$B$6/12,2)</x:f>
        <x:v>1736.87</x:v>
      </x:c>
      <x:c r="F214" s="7" t="n">
        <x:f>ROUND(D214-E214,2)</x:f>
        <x:v>1414.3</x:v>
      </x:c>
      <x:c r="G214" s="7" t="n">
        <x:f>ROUND(C214-F214,2)</x:f>
        <x:v>340264.35</x:v>
      </x:c>
      <x:c r="H214" s="7" t="n">
        <x:f>ROUND(D214-E214-F214,2)</x:f>
        <x:v>0</x:v>
      </x:c>
      <x:c r="I214" s="1" t="str">
        <x:v>Projection</x:v>
      </x:c>
    </x:row>
    <x:row r="215" ht="21" customHeight="1">
      <x:c r="A215" s="1" t="n">
        <x:v>204</x:v>
      </x:c>
      <x:c r="B215" s="6" t="n">
        <x:v>52047</x:v>
      </x:c>
      <x:c r="C215" s="7" t="n">
        <x:f>G214</x:f>
        <x:v>340264.35</x:v>
      </x:c>
      <x:c r="D215" s="7" t="n">
        <x:f>IF(A215=$B$7,ROUND(C215+E215,2),MIN($B$8,ROUND(C215+E215,2)))</x:f>
        <x:v>3151.17</x:v>
      </x:c>
      <x:c r="E215" s="7" t="n">
        <x:f>ROUND(C215*$B$6/12,2)</x:f>
        <x:v>1729.68</x:v>
      </x:c>
      <x:c r="F215" s="7" t="n">
        <x:f>ROUND(D215-E215,2)</x:f>
        <x:v>1421.49</x:v>
      </x:c>
      <x:c r="G215" s="7" t="n">
        <x:f>ROUND(C215-F215,2)</x:f>
        <x:v>338842.86</x:v>
      </x:c>
      <x:c r="H215" s="7" t="n">
        <x:f>ROUND(D215-E215-F215,2)</x:f>
        <x:v>0</x:v>
      </x:c>
      <x:c r="I215" s="1" t="str">
        <x:v>Projection</x:v>
      </x:c>
    </x:row>
    <x:row r="216" ht="21" customHeight="1">
      <x:c r="A216" s="1" t="n">
        <x:v>205</x:v>
      </x:c>
      <x:c r="B216" s="6" t="n">
        <x:v>52078</x:v>
      </x:c>
      <x:c r="C216" s="7" t="n">
        <x:f>G215</x:f>
        <x:v>338842.86</x:v>
      </x:c>
      <x:c r="D216" s="7" t="n">
        <x:f>IF(A216=$B$7,ROUND(C216+E216,2),MIN($B$8,ROUND(C216+E216,2)))</x:f>
        <x:v>3151.17</x:v>
      </x:c>
      <x:c r="E216" s="7" t="n">
        <x:f>ROUND(C216*$B$6/12,2)</x:f>
        <x:v>1722.45</x:v>
      </x:c>
      <x:c r="F216" s="7" t="n">
        <x:f>ROUND(D216-E216,2)</x:f>
        <x:v>1428.72</x:v>
      </x:c>
      <x:c r="G216" s="7" t="n">
        <x:f>ROUND(C216-F216,2)</x:f>
        <x:v>337414.14</x:v>
      </x:c>
      <x:c r="H216" s="7" t="n">
        <x:f>ROUND(D216-E216-F216,2)</x:f>
        <x:v>0</x:v>
      </x:c>
      <x:c r="I216" s="1" t="str">
        <x:v>Projection</x:v>
      </x:c>
    </x:row>
    <x:row r="217" ht="21" customHeight="1">
      <x:c r="A217" s="1" t="n">
        <x:v>206</x:v>
      </x:c>
      <x:c r="B217" s="6" t="n">
        <x:v>52109</x:v>
      </x:c>
      <x:c r="C217" s="7" t="n">
        <x:f>G216</x:f>
        <x:v>337414.14</x:v>
      </x:c>
      <x:c r="D217" s="7" t="n">
        <x:f>IF(A217=$B$7,ROUND(C217+E217,2),MIN($B$8,ROUND(C217+E217,2)))</x:f>
        <x:v>3151.17</x:v>
      </x:c>
      <x:c r="E217" s="7" t="n">
        <x:f>ROUND(C217*$B$6/12,2)</x:f>
        <x:v>1715.19</x:v>
      </x:c>
      <x:c r="F217" s="7" t="n">
        <x:f>ROUND(D217-E217,2)</x:f>
        <x:v>1435.98</x:v>
      </x:c>
      <x:c r="G217" s="7" t="n">
        <x:f>ROUND(C217-F217,2)</x:f>
        <x:v>335978.16</x:v>
      </x:c>
      <x:c r="H217" s="7" t="n">
        <x:f>ROUND(D217-E217-F217,2)</x:f>
        <x:v>0</x:v>
      </x:c>
      <x:c r="I217" s="1" t="str">
        <x:v>Projection</x:v>
      </x:c>
    </x:row>
    <x:row r="218" ht="21" customHeight="1">
      <x:c r="A218" s="1" t="n">
        <x:v>207</x:v>
      </x:c>
      <x:c r="B218" s="6" t="n">
        <x:v>52139</x:v>
      </x:c>
      <x:c r="C218" s="7" t="n">
        <x:f>G217</x:f>
        <x:v>335978.16</x:v>
      </x:c>
      <x:c r="D218" s="7" t="n">
        <x:f>IF(A218=$B$7,ROUND(C218+E218,2),MIN($B$8,ROUND(C218+E218,2)))</x:f>
        <x:v>3151.17</x:v>
      </x:c>
      <x:c r="E218" s="7" t="n">
        <x:f>ROUND(C218*$B$6/12,2)</x:f>
        <x:v>1707.89</x:v>
      </x:c>
      <x:c r="F218" s="7" t="n">
        <x:f>ROUND(D218-E218,2)</x:f>
        <x:v>1443.28</x:v>
      </x:c>
      <x:c r="G218" s="7" t="n">
        <x:f>ROUND(C218-F218,2)</x:f>
        <x:v>334534.88</x:v>
      </x:c>
      <x:c r="H218" s="7" t="n">
        <x:f>ROUND(D218-E218-F218,2)</x:f>
        <x:v>0</x:v>
      </x:c>
      <x:c r="I218" s="1" t="str">
        <x:v>Projection</x:v>
      </x:c>
    </x:row>
    <x:row r="219" ht="21" customHeight="1">
      <x:c r="A219" s="1" t="n">
        <x:v>208</x:v>
      </x:c>
      <x:c r="B219" s="6" t="n">
        <x:v>52170</x:v>
      </x:c>
      <x:c r="C219" s="7" t="n">
        <x:f>G218</x:f>
        <x:v>334534.88</x:v>
      </x:c>
      <x:c r="D219" s="7" t="n">
        <x:f>IF(A219=$B$7,ROUND(C219+E219,2),MIN($B$8,ROUND(C219+E219,2)))</x:f>
        <x:v>3151.17</x:v>
      </x:c>
      <x:c r="E219" s="7" t="n">
        <x:f>ROUND(C219*$B$6/12,2)</x:f>
        <x:v>1700.55</x:v>
      </x:c>
      <x:c r="F219" s="7" t="n">
        <x:f>ROUND(D219-E219,2)</x:f>
        <x:v>1450.62</x:v>
      </x:c>
      <x:c r="G219" s="7" t="n">
        <x:f>ROUND(C219-F219,2)</x:f>
        <x:v>333084.26</x:v>
      </x:c>
      <x:c r="H219" s="7" t="n">
        <x:f>ROUND(D219-E219-F219,2)</x:f>
        <x:v>0</x:v>
      </x:c>
      <x:c r="I219" s="1" t="str">
        <x:v>Projection</x:v>
      </x:c>
    </x:row>
    <x:row r="220" ht="21" customHeight="1">
      <x:c r="A220" s="1" t="n">
        <x:v>209</x:v>
      </x:c>
      <x:c r="B220" s="6" t="n">
        <x:v>52200</x:v>
      </x:c>
      <x:c r="C220" s="7" t="n">
        <x:f>G219</x:f>
        <x:v>333084.26</x:v>
      </x:c>
      <x:c r="D220" s="7" t="n">
        <x:f>IF(A220=$B$7,ROUND(C220+E220,2),MIN($B$8,ROUND(C220+E220,2)))</x:f>
        <x:v>3151.17</x:v>
      </x:c>
      <x:c r="E220" s="7" t="n">
        <x:f>ROUND(C220*$B$6/12,2)</x:f>
        <x:v>1693.18</x:v>
      </x:c>
      <x:c r="F220" s="7" t="n">
        <x:f>ROUND(D220-E220,2)</x:f>
        <x:v>1457.99</x:v>
      </x:c>
      <x:c r="G220" s="7" t="n">
        <x:f>ROUND(C220-F220,2)</x:f>
        <x:v>331626.27</x:v>
      </x:c>
      <x:c r="H220" s="7" t="n">
        <x:f>ROUND(D220-E220-F220,2)</x:f>
        <x:v>0</x:v>
      </x:c>
      <x:c r="I220" s="1" t="str">
        <x:v>Projection</x:v>
      </x:c>
    </x:row>
    <x:row r="221" ht="21" customHeight="1">
      <x:c r="A221" s="1" t="n">
        <x:v>210</x:v>
      </x:c>
      <x:c r="B221" s="6" t="n">
        <x:v>52231</x:v>
      </x:c>
      <x:c r="C221" s="7" t="n">
        <x:f>G220</x:f>
        <x:v>331626.27</x:v>
      </x:c>
      <x:c r="D221" s="7" t="n">
        <x:f>IF(A221=$B$7,ROUND(C221+E221,2),MIN($B$8,ROUND(C221+E221,2)))</x:f>
        <x:v>3151.17</x:v>
      </x:c>
      <x:c r="E221" s="7" t="n">
        <x:f>ROUND(C221*$B$6/12,2)</x:f>
        <x:v>1685.77</x:v>
      </x:c>
      <x:c r="F221" s="7" t="n">
        <x:f>ROUND(D221-E221,2)</x:f>
        <x:v>1465.4</x:v>
      </x:c>
      <x:c r="G221" s="7" t="n">
        <x:f>ROUND(C221-F221,2)</x:f>
        <x:v>330160.87</x:v>
      </x:c>
      <x:c r="H221" s="7" t="n">
        <x:f>ROUND(D221-E221-F221,2)</x:f>
        <x:v>0</x:v>
      </x:c>
      <x:c r="I221" s="1" t="str">
        <x:v>Projection</x:v>
      </x:c>
    </x:row>
    <x:row r="222" ht="21" customHeight="1">
      <x:c r="A222" s="1" t="n">
        <x:v>211</x:v>
      </x:c>
      <x:c r="B222" s="6" t="n">
        <x:v>52262</x:v>
      </x:c>
      <x:c r="C222" s="7" t="n">
        <x:f>G221</x:f>
        <x:v>330160.87</x:v>
      </x:c>
      <x:c r="D222" s="7" t="n">
        <x:f>IF(A222=$B$7,ROUND(C222+E222,2),MIN($B$8,ROUND(C222+E222,2)))</x:f>
        <x:v>3151.17</x:v>
      </x:c>
      <x:c r="E222" s="7" t="n">
        <x:f>ROUND(C222*$B$6/12,2)</x:f>
        <x:v>1678.32</x:v>
      </x:c>
      <x:c r="F222" s="7" t="n">
        <x:f>ROUND(D222-E222,2)</x:f>
        <x:v>1472.85</x:v>
      </x:c>
      <x:c r="G222" s="7" t="n">
        <x:f>ROUND(C222-F222,2)</x:f>
        <x:v>328688.02</x:v>
      </x:c>
      <x:c r="H222" s="7" t="n">
        <x:f>ROUND(D222-E222-F222,2)</x:f>
        <x:v>0</x:v>
      </x:c>
      <x:c r="I222" s="1" t="str">
        <x:v>Projection</x:v>
      </x:c>
    </x:row>
    <x:row r="223" ht="21" customHeight="1">
      <x:c r="A223" s="1" t="n">
        <x:v>212</x:v>
      </x:c>
      <x:c r="B223" s="6" t="n">
        <x:v>52290</x:v>
      </x:c>
      <x:c r="C223" s="7" t="n">
        <x:f>G222</x:f>
        <x:v>328688.02</x:v>
      </x:c>
      <x:c r="D223" s="7" t="n">
        <x:f>IF(A223=$B$7,ROUND(C223+E223,2),MIN($B$8,ROUND(C223+E223,2)))</x:f>
        <x:v>3151.17</x:v>
      </x:c>
      <x:c r="E223" s="7" t="n">
        <x:f>ROUND(C223*$B$6/12,2)</x:f>
        <x:v>1670.83</x:v>
      </x:c>
      <x:c r="F223" s="7" t="n">
        <x:f>ROUND(D223-E223,2)</x:f>
        <x:v>1480.34</x:v>
      </x:c>
      <x:c r="G223" s="7" t="n">
        <x:f>ROUND(C223-F223,2)</x:f>
        <x:v>327207.68</x:v>
      </x:c>
      <x:c r="H223" s="7" t="n">
        <x:f>ROUND(D223-E223-F223,2)</x:f>
        <x:v>0</x:v>
      </x:c>
      <x:c r="I223" s="1" t="str">
        <x:v>Projection</x:v>
      </x:c>
    </x:row>
    <x:row r="224" ht="21" customHeight="1">
      <x:c r="A224" s="1" t="n">
        <x:v>213</x:v>
      </x:c>
      <x:c r="B224" s="6" t="n">
        <x:v>52321</x:v>
      </x:c>
      <x:c r="C224" s="7" t="n">
        <x:f>G223</x:f>
        <x:v>327207.68</x:v>
      </x:c>
      <x:c r="D224" s="7" t="n">
        <x:f>IF(A224=$B$7,ROUND(C224+E224,2),MIN($B$8,ROUND(C224+E224,2)))</x:f>
        <x:v>3151.17</x:v>
      </x:c>
      <x:c r="E224" s="7" t="n">
        <x:f>ROUND(C224*$B$6/12,2)</x:f>
        <x:v>1663.31</x:v>
      </x:c>
      <x:c r="F224" s="7" t="n">
        <x:f>ROUND(D224-E224,2)</x:f>
        <x:v>1487.86</x:v>
      </x:c>
      <x:c r="G224" s="7" t="n">
        <x:f>ROUND(C224-F224,2)</x:f>
        <x:v>325719.82</x:v>
      </x:c>
      <x:c r="H224" s="7" t="n">
        <x:f>ROUND(D224-E224-F224,2)</x:f>
        <x:v>0</x:v>
      </x:c>
      <x:c r="I224" s="1" t="str">
        <x:v>Projection</x:v>
      </x:c>
    </x:row>
    <x:row r="225" ht="21" customHeight="1">
      <x:c r="A225" s="1" t="n">
        <x:v>214</x:v>
      </x:c>
      <x:c r="B225" s="6" t="n">
        <x:v>52351</x:v>
      </x:c>
      <x:c r="C225" s="7" t="n">
        <x:f>G224</x:f>
        <x:v>325719.82</x:v>
      </x:c>
      <x:c r="D225" s="7" t="n">
        <x:f>IF(A225=$B$7,ROUND(C225+E225,2),MIN($B$8,ROUND(C225+E225,2)))</x:f>
        <x:v>3151.17</x:v>
      </x:c>
      <x:c r="E225" s="7" t="n">
        <x:f>ROUND(C225*$B$6/12,2)</x:f>
        <x:v>1655.74</x:v>
      </x:c>
      <x:c r="F225" s="7" t="n">
        <x:f>ROUND(D225-E225,2)</x:f>
        <x:v>1495.43</x:v>
      </x:c>
      <x:c r="G225" s="7" t="n">
        <x:f>ROUND(C225-F225,2)</x:f>
        <x:v>324224.39</x:v>
      </x:c>
      <x:c r="H225" s="7" t="n">
        <x:f>ROUND(D225-E225-F225,2)</x:f>
        <x:v>0</x:v>
      </x:c>
      <x:c r="I225" s="1" t="str">
        <x:v>Projection</x:v>
      </x:c>
    </x:row>
    <x:row r="226" ht="21" customHeight="1">
      <x:c r="A226" s="1" t="n">
        <x:v>215</x:v>
      </x:c>
      <x:c r="B226" s="6" t="n">
        <x:v>52382</x:v>
      </x:c>
      <x:c r="C226" s="7" t="n">
        <x:f>G225</x:f>
        <x:v>324224.39</x:v>
      </x:c>
      <x:c r="D226" s="7" t="n">
        <x:f>IF(A226=$B$7,ROUND(C226+E226,2),MIN($B$8,ROUND(C226+E226,2)))</x:f>
        <x:v>3151.17</x:v>
      </x:c>
      <x:c r="E226" s="7" t="n">
        <x:f>ROUND(C226*$B$6/12,2)</x:f>
        <x:v>1648.14</x:v>
      </x:c>
      <x:c r="F226" s="7" t="n">
        <x:f>ROUND(D226-E226,2)</x:f>
        <x:v>1503.03</x:v>
      </x:c>
      <x:c r="G226" s="7" t="n">
        <x:f>ROUND(C226-F226,2)</x:f>
        <x:v>322721.36</x:v>
      </x:c>
      <x:c r="H226" s="7" t="n">
        <x:f>ROUND(D226-E226-F226,2)</x:f>
        <x:v>0</x:v>
      </x:c>
      <x:c r="I226" s="1" t="str">
        <x:v>Projection</x:v>
      </x:c>
    </x:row>
    <x:row r="227" ht="21" customHeight="1">
      <x:c r="A227" s="1" t="n">
        <x:v>216</x:v>
      </x:c>
      <x:c r="B227" s="6" t="n">
        <x:v>52412</x:v>
      </x:c>
      <x:c r="C227" s="7" t="n">
        <x:f>G226</x:f>
        <x:v>322721.36</x:v>
      </x:c>
      <x:c r="D227" s="7" t="n">
        <x:f>IF(A227=$B$7,ROUND(C227+E227,2),MIN($B$8,ROUND(C227+E227,2)))</x:f>
        <x:v>3151.17</x:v>
      </x:c>
      <x:c r="E227" s="7" t="n">
        <x:f>ROUND(C227*$B$6/12,2)</x:f>
        <x:v>1640.5</x:v>
      </x:c>
      <x:c r="F227" s="7" t="n">
        <x:f>ROUND(D227-E227,2)</x:f>
        <x:v>1510.67</x:v>
      </x:c>
      <x:c r="G227" s="7" t="n">
        <x:f>ROUND(C227-F227,2)</x:f>
        <x:v>321210.69</x:v>
      </x:c>
      <x:c r="H227" s="7" t="n">
        <x:f>ROUND(D227-E227-F227,2)</x:f>
        <x:v>0</x:v>
      </x:c>
      <x:c r="I227" s="1" t="str">
        <x:v>Projection</x:v>
      </x:c>
    </x:row>
    <x:row r="228" ht="21" customHeight="1">
      <x:c r="A228" s="1" t="n">
        <x:v>217</x:v>
      </x:c>
      <x:c r="B228" s="6" t="n">
        <x:v>52443</x:v>
      </x:c>
      <x:c r="C228" s="7" t="n">
        <x:f>G227</x:f>
        <x:v>321210.69</x:v>
      </x:c>
      <x:c r="D228" s="7" t="n">
        <x:f>IF(A228=$B$7,ROUND(C228+E228,2),MIN($B$8,ROUND(C228+E228,2)))</x:f>
        <x:v>3151.17</x:v>
      </x:c>
      <x:c r="E228" s="7" t="n">
        <x:f>ROUND(C228*$B$6/12,2)</x:f>
        <x:v>1632.82</x:v>
      </x:c>
      <x:c r="F228" s="7" t="n">
        <x:f>ROUND(D228-E228,2)</x:f>
        <x:v>1518.35</x:v>
      </x:c>
      <x:c r="G228" s="7" t="n">
        <x:f>ROUND(C228-F228,2)</x:f>
        <x:v>319692.34</x:v>
      </x:c>
      <x:c r="H228" s="7" t="n">
        <x:f>ROUND(D228-E228-F228,2)</x:f>
        <x:v>0</x:v>
      </x:c>
      <x:c r="I228" s="1" t="str">
        <x:v>Projection</x:v>
      </x:c>
    </x:row>
    <x:row r="229" ht="21" customHeight="1">
      <x:c r="A229" s="1" t="n">
        <x:v>218</x:v>
      </x:c>
      <x:c r="B229" s="6" t="n">
        <x:v>52474</x:v>
      </x:c>
      <x:c r="C229" s="7" t="n">
        <x:f>G228</x:f>
        <x:v>319692.34</x:v>
      </x:c>
      <x:c r="D229" s="7" t="n">
        <x:f>IF(A229=$B$7,ROUND(C229+E229,2),MIN($B$8,ROUND(C229+E229,2)))</x:f>
        <x:v>3151.17</x:v>
      </x:c>
      <x:c r="E229" s="7" t="n">
        <x:f>ROUND(C229*$B$6/12,2)</x:f>
        <x:v>1625.1</x:v>
      </x:c>
      <x:c r="F229" s="7" t="n">
        <x:f>ROUND(D229-E229,2)</x:f>
        <x:v>1526.07</x:v>
      </x:c>
      <x:c r="G229" s="7" t="n">
        <x:f>ROUND(C229-F229,2)</x:f>
        <x:v>318166.27</x:v>
      </x:c>
      <x:c r="H229" s="7" t="n">
        <x:f>ROUND(D229-E229-F229,2)</x:f>
        <x:v>0</x:v>
      </x:c>
      <x:c r="I229" s="1" t="str">
        <x:v>Projection</x:v>
      </x:c>
    </x:row>
    <x:row r="230" ht="21" customHeight="1">
      <x:c r="A230" s="1" t="n">
        <x:v>219</x:v>
      </x:c>
      <x:c r="B230" s="6" t="n">
        <x:v>52504</x:v>
      </x:c>
      <x:c r="C230" s="7" t="n">
        <x:f>G229</x:f>
        <x:v>318166.27</x:v>
      </x:c>
      <x:c r="D230" s="7" t="n">
        <x:f>IF(A230=$B$7,ROUND(C230+E230,2),MIN($B$8,ROUND(C230+E230,2)))</x:f>
        <x:v>3151.17</x:v>
      </x:c>
      <x:c r="E230" s="7" t="n">
        <x:f>ROUND(C230*$B$6/12,2)</x:f>
        <x:v>1617.35</x:v>
      </x:c>
      <x:c r="F230" s="7" t="n">
        <x:f>ROUND(D230-E230,2)</x:f>
        <x:v>1533.82</x:v>
      </x:c>
      <x:c r="G230" s="7" t="n">
        <x:f>ROUND(C230-F230,2)</x:f>
        <x:v>316632.45</x:v>
      </x:c>
      <x:c r="H230" s="7" t="n">
        <x:f>ROUND(D230-E230-F230,2)</x:f>
        <x:v>0</x:v>
      </x:c>
      <x:c r="I230" s="1" t="str">
        <x:v>Projection</x:v>
      </x:c>
    </x:row>
    <x:row r="231" ht="21" customHeight="1">
      <x:c r="A231" s="1" t="n">
        <x:v>220</x:v>
      </x:c>
      <x:c r="B231" s="6" t="n">
        <x:v>52535</x:v>
      </x:c>
      <x:c r="C231" s="7" t="n">
        <x:f>G230</x:f>
        <x:v>316632.45</x:v>
      </x:c>
      <x:c r="D231" s="7" t="n">
        <x:f>IF(A231=$B$7,ROUND(C231+E231,2),MIN($B$8,ROUND(C231+E231,2)))</x:f>
        <x:v>3151.17</x:v>
      </x:c>
      <x:c r="E231" s="7" t="n">
        <x:f>ROUND(C231*$B$6/12,2)</x:f>
        <x:v>1609.55</x:v>
      </x:c>
      <x:c r="F231" s="7" t="n">
        <x:f>ROUND(D231-E231,2)</x:f>
        <x:v>1541.62</x:v>
      </x:c>
      <x:c r="G231" s="7" t="n">
        <x:f>ROUND(C231-F231,2)</x:f>
        <x:v>315090.83</x:v>
      </x:c>
      <x:c r="H231" s="7" t="n">
        <x:f>ROUND(D231-E231-F231,2)</x:f>
        <x:v>0</x:v>
      </x:c>
      <x:c r="I231" s="1" t="str">
        <x:v>Projection</x:v>
      </x:c>
    </x:row>
    <x:row r="232" ht="21" customHeight="1">
      <x:c r="A232" s="1" t="n">
        <x:v>221</x:v>
      </x:c>
      <x:c r="B232" s="6" t="n">
        <x:v>52565</x:v>
      </x:c>
      <x:c r="C232" s="7" t="n">
        <x:f>G231</x:f>
        <x:v>315090.83</x:v>
      </x:c>
      <x:c r="D232" s="7" t="n">
        <x:f>IF(A232=$B$7,ROUND(C232+E232,2),MIN($B$8,ROUND(C232+E232,2)))</x:f>
        <x:v>3151.17</x:v>
      </x:c>
      <x:c r="E232" s="7" t="n">
        <x:f>ROUND(C232*$B$6/12,2)</x:f>
        <x:v>1601.71</x:v>
      </x:c>
      <x:c r="F232" s="7" t="n">
        <x:f>ROUND(D232-E232,2)</x:f>
        <x:v>1549.46</x:v>
      </x:c>
      <x:c r="G232" s="7" t="n">
        <x:f>ROUND(C232-F232,2)</x:f>
        <x:v>313541.37</x:v>
      </x:c>
      <x:c r="H232" s="7" t="n">
        <x:f>ROUND(D232-E232-F232,2)</x:f>
        <x:v>0</x:v>
      </x:c>
      <x:c r="I232" s="1" t="str">
        <x:v>Projection</x:v>
      </x:c>
    </x:row>
    <x:row r="233" ht="21" customHeight="1">
      <x:c r="A233" s="1" t="n">
        <x:v>222</x:v>
      </x:c>
      <x:c r="B233" s="6" t="n">
        <x:v>52596</x:v>
      </x:c>
      <x:c r="C233" s="7" t="n">
        <x:f>G232</x:f>
        <x:v>313541.37</x:v>
      </x:c>
      <x:c r="D233" s="7" t="n">
        <x:f>IF(A233=$B$7,ROUND(C233+E233,2),MIN($B$8,ROUND(C233+E233,2)))</x:f>
        <x:v>3151.17</x:v>
      </x:c>
      <x:c r="E233" s="7" t="n">
        <x:f>ROUND(C233*$B$6/12,2)</x:f>
        <x:v>1593.84</x:v>
      </x:c>
      <x:c r="F233" s="7" t="n">
        <x:f>ROUND(D233-E233,2)</x:f>
        <x:v>1557.33</x:v>
      </x:c>
      <x:c r="G233" s="7" t="n">
        <x:f>ROUND(C233-F233,2)</x:f>
        <x:v>311984.04</x:v>
      </x:c>
      <x:c r="H233" s="7" t="n">
        <x:f>ROUND(D233-E233-F233,2)</x:f>
        <x:v>0</x:v>
      </x:c>
      <x:c r="I233" s="1" t="str">
        <x:v>Projection</x:v>
      </x:c>
    </x:row>
    <x:row r="234" ht="21" customHeight="1">
      <x:c r="A234" s="1" t="n">
        <x:v>223</x:v>
      </x:c>
      <x:c r="B234" s="6" t="n">
        <x:v>52627</x:v>
      </x:c>
      <x:c r="C234" s="7" t="n">
        <x:f>G233</x:f>
        <x:v>311984.04</x:v>
      </x:c>
      <x:c r="D234" s="7" t="n">
        <x:f>IF(A234=$B$7,ROUND(C234+E234,2),MIN($B$8,ROUND(C234+E234,2)))</x:f>
        <x:v>3151.17</x:v>
      </x:c>
      <x:c r="E234" s="7" t="n">
        <x:f>ROUND(C234*$B$6/12,2)</x:f>
        <x:v>1585.92</x:v>
      </x:c>
      <x:c r="F234" s="7" t="n">
        <x:f>ROUND(D234-E234,2)</x:f>
        <x:v>1565.25</x:v>
      </x:c>
      <x:c r="G234" s="7" t="n">
        <x:f>ROUND(C234-F234,2)</x:f>
        <x:v>310418.79</x:v>
      </x:c>
      <x:c r="H234" s="7" t="n">
        <x:f>ROUND(D234-E234-F234,2)</x:f>
        <x:v>0</x:v>
      </x:c>
      <x:c r="I234" s="1" t="str">
        <x:v>Projection</x:v>
      </x:c>
    </x:row>
    <x:row r="235" ht="21" customHeight="1">
      <x:c r="A235" s="1" t="n">
        <x:v>224</x:v>
      </x:c>
      <x:c r="B235" s="6" t="n">
        <x:v>52656</x:v>
      </x:c>
      <x:c r="C235" s="7" t="n">
        <x:f>G234</x:f>
        <x:v>310418.79</x:v>
      </x:c>
      <x:c r="D235" s="7" t="n">
        <x:f>IF(A235=$B$7,ROUND(C235+E235,2),MIN($B$8,ROUND(C235+E235,2)))</x:f>
        <x:v>3151.17</x:v>
      </x:c>
      <x:c r="E235" s="7" t="n">
        <x:f>ROUND(C235*$B$6/12,2)</x:f>
        <x:v>1577.96</x:v>
      </x:c>
      <x:c r="F235" s="7" t="n">
        <x:f>ROUND(D235-E235,2)</x:f>
        <x:v>1573.21</x:v>
      </x:c>
      <x:c r="G235" s="7" t="n">
        <x:f>ROUND(C235-F235,2)</x:f>
        <x:v>308845.58</x:v>
      </x:c>
      <x:c r="H235" s="7" t="n">
        <x:f>ROUND(D235-E235-F235,2)</x:f>
        <x:v>0</x:v>
      </x:c>
      <x:c r="I235" s="1" t="str">
        <x:v>Projection</x:v>
      </x:c>
    </x:row>
    <x:row r="236" ht="21" customHeight="1">
      <x:c r="A236" s="1" t="n">
        <x:v>225</x:v>
      </x:c>
      <x:c r="B236" s="6" t="n">
        <x:v>52687</x:v>
      </x:c>
      <x:c r="C236" s="7" t="n">
        <x:f>G235</x:f>
        <x:v>308845.58</x:v>
      </x:c>
      <x:c r="D236" s="7" t="n">
        <x:f>IF(A236=$B$7,ROUND(C236+E236,2),MIN($B$8,ROUND(C236+E236,2)))</x:f>
        <x:v>3151.17</x:v>
      </x:c>
      <x:c r="E236" s="7" t="n">
        <x:f>ROUND(C236*$B$6/12,2)</x:f>
        <x:v>1569.97</x:v>
      </x:c>
      <x:c r="F236" s="7" t="n">
        <x:f>ROUND(D236-E236,2)</x:f>
        <x:v>1581.2</x:v>
      </x:c>
      <x:c r="G236" s="7" t="n">
        <x:f>ROUND(C236-F236,2)</x:f>
        <x:v>307264.38</x:v>
      </x:c>
      <x:c r="H236" s="7" t="n">
        <x:f>ROUND(D236-E236-F236,2)</x:f>
        <x:v>0</x:v>
      </x:c>
      <x:c r="I236" s="1" t="str">
        <x:v>Projection</x:v>
      </x:c>
    </x:row>
    <x:row r="237" ht="21" customHeight="1">
      <x:c r="A237" s="1" t="n">
        <x:v>226</x:v>
      </x:c>
      <x:c r="B237" s="6" t="n">
        <x:v>52717</x:v>
      </x:c>
      <x:c r="C237" s="7" t="n">
        <x:f>G236</x:f>
        <x:v>307264.38</x:v>
      </x:c>
      <x:c r="D237" s="7" t="n">
        <x:f>IF(A237=$B$7,ROUND(C237+E237,2),MIN($B$8,ROUND(C237+E237,2)))</x:f>
        <x:v>3151.17</x:v>
      </x:c>
      <x:c r="E237" s="7" t="n">
        <x:f>ROUND(C237*$B$6/12,2)</x:f>
        <x:v>1561.93</x:v>
      </x:c>
      <x:c r="F237" s="7" t="n">
        <x:f>ROUND(D237-E237,2)</x:f>
        <x:v>1589.24</x:v>
      </x:c>
      <x:c r="G237" s="7" t="n">
        <x:f>ROUND(C237-F237,2)</x:f>
        <x:v>305675.14</x:v>
      </x:c>
      <x:c r="H237" s="7" t="n">
        <x:f>ROUND(D237-E237-F237,2)</x:f>
        <x:v>0</x:v>
      </x:c>
      <x:c r="I237" s="1" t="str">
        <x:v>Projection</x:v>
      </x:c>
    </x:row>
    <x:row r="238" ht="21" customHeight="1">
      <x:c r="A238" s="1" t="n">
        <x:v>227</x:v>
      </x:c>
      <x:c r="B238" s="6" t="n">
        <x:v>52748</x:v>
      </x:c>
      <x:c r="C238" s="7" t="n">
        <x:f>G237</x:f>
        <x:v>305675.14</x:v>
      </x:c>
      <x:c r="D238" s="7" t="n">
        <x:f>IF(A238=$B$7,ROUND(C238+E238,2),MIN($B$8,ROUND(C238+E238,2)))</x:f>
        <x:v>3151.17</x:v>
      </x:c>
      <x:c r="E238" s="7" t="n">
        <x:f>ROUND(C238*$B$6/12,2)</x:f>
        <x:v>1553.85</x:v>
      </x:c>
      <x:c r="F238" s="7" t="n">
        <x:f>ROUND(D238-E238,2)</x:f>
        <x:v>1597.32</x:v>
      </x:c>
      <x:c r="G238" s="7" t="n">
        <x:f>ROUND(C238-F238,2)</x:f>
        <x:v>304077.82</x:v>
      </x:c>
      <x:c r="H238" s="7" t="n">
        <x:f>ROUND(D238-E238-F238,2)</x:f>
        <x:v>0</x:v>
      </x:c>
      <x:c r="I238" s="1" t="str">
        <x:v>Projection</x:v>
      </x:c>
    </x:row>
    <x:row r="239" ht="21" customHeight="1">
      <x:c r="A239" s="1" t="n">
        <x:v>228</x:v>
      </x:c>
      <x:c r="B239" s="6" t="n">
        <x:v>52778</x:v>
      </x:c>
      <x:c r="C239" s="7" t="n">
        <x:f>G238</x:f>
        <x:v>304077.82</x:v>
      </x:c>
      <x:c r="D239" s="7" t="n">
        <x:f>IF(A239=$B$7,ROUND(C239+E239,2),MIN($B$8,ROUND(C239+E239,2)))</x:f>
        <x:v>3151.17</x:v>
      </x:c>
      <x:c r="E239" s="7" t="n">
        <x:f>ROUND(C239*$B$6/12,2)</x:f>
        <x:v>1545.73</x:v>
      </x:c>
      <x:c r="F239" s="7" t="n">
        <x:f>ROUND(D239-E239,2)</x:f>
        <x:v>1605.44</x:v>
      </x:c>
      <x:c r="G239" s="7" t="n">
        <x:f>ROUND(C239-F239,2)</x:f>
        <x:v>302472.38</x:v>
      </x:c>
      <x:c r="H239" s="7" t="n">
        <x:f>ROUND(D239-E239-F239,2)</x:f>
        <x:v>0</x:v>
      </x:c>
      <x:c r="I239" s="1" t="str">
        <x:v>Projection</x:v>
      </x:c>
    </x:row>
    <x:row r="240" ht="21" customHeight="1">
      <x:c r="A240" s="1" t="n">
        <x:v>229</x:v>
      </x:c>
      <x:c r="B240" s="6" t="n">
        <x:v>52809</x:v>
      </x:c>
      <x:c r="C240" s="7" t="n">
        <x:f>G239</x:f>
        <x:v>302472.38</x:v>
      </x:c>
      <x:c r="D240" s="7" t="n">
        <x:f>IF(A240=$B$7,ROUND(C240+E240,2),MIN($B$8,ROUND(C240+E240,2)))</x:f>
        <x:v>3151.17</x:v>
      </x:c>
      <x:c r="E240" s="7" t="n">
        <x:f>ROUND(C240*$B$6/12,2)</x:f>
        <x:v>1537.57</x:v>
      </x:c>
      <x:c r="F240" s="7" t="n">
        <x:f>ROUND(D240-E240,2)</x:f>
        <x:v>1613.6</x:v>
      </x:c>
      <x:c r="G240" s="7" t="n">
        <x:f>ROUND(C240-F240,2)</x:f>
        <x:v>300858.78</x:v>
      </x:c>
      <x:c r="H240" s="7" t="n">
        <x:f>ROUND(D240-E240-F240,2)</x:f>
        <x:v>0</x:v>
      </x:c>
      <x:c r="I240" s="1" t="str">
        <x:v>Projection</x:v>
      </x:c>
    </x:row>
    <x:row r="241" ht="21" customHeight="1">
      <x:c r="A241" s="1" t="n">
        <x:v>230</x:v>
      </x:c>
      <x:c r="B241" s="6" t="n">
        <x:v>52840</x:v>
      </x:c>
      <x:c r="C241" s="7" t="n">
        <x:f>G240</x:f>
        <x:v>300858.78</x:v>
      </x:c>
      <x:c r="D241" s="7" t="n">
        <x:f>IF(A241=$B$7,ROUND(C241+E241,2),MIN($B$8,ROUND(C241+E241,2)))</x:f>
        <x:v>3151.17</x:v>
      </x:c>
      <x:c r="E241" s="7" t="n">
        <x:f>ROUND(C241*$B$6/12,2)</x:f>
        <x:v>1529.37</x:v>
      </x:c>
      <x:c r="F241" s="7" t="n">
        <x:f>ROUND(D241-E241,2)</x:f>
        <x:v>1621.8</x:v>
      </x:c>
      <x:c r="G241" s="7" t="n">
        <x:f>ROUND(C241-F241,2)</x:f>
        <x:v>299236.98</x:v>
      </x:c>
      <x:c r="H241" s="7" t="n">
        <x:f>ROUND(D241-E241-F241,2)</x:f>
        <x:v>0</x:v>
      </x:c>
      <x:c r="I241" s="1" t="str">
        <x:v>Projection</x:v>
      </x:c>
    </x:row>
    <x:row r="242" ht="21" customHeight="1">
      <x:c r="A242" s="1" t="n">
        <x:v>231</x:v>
      </x:c>
      <x:c r="B242" s="6" t="n">
        <x:v>52870</x:v>
      </x:c>
      <x:c r="C242" s="7" t="n">
        <x:f>G241</x:f>
        <x:v>299236.98</x:v>
      </x:c>
      <x:c r="D242" s="7" t="n">
        <x:f>IF(A242=$B$7,ROUND(C242+E242,2),MIN($B$8,ROUND(C242+E242,2)))</x:f>
        <x:v>3151.17</x:v>
      </x:c>
      <x:c r="E242" s="7" t="n">
        <x:f>ROUND(C242*$B$6/12,2)</x:f>
        <x:v>1521.12</x:v>
      </x:c>
      <x:c r="F242" s="7" t="n">
        <x:f>ROUND(D242-E242,2)</x:f>
        <x:v>1630.05</x:v>
      </x:c>
      <x:c r="G242" s="7" t="n">
        <x:f>ROUND(C242-F242,2)</x:f>
        <x:v>297606.93</x:v>
      </x:c>
      <x:c r="H242" s="7" t="n">
        <x:f>ROUND(D242-E242-F242,2)</x:f>
        <x:v>0</x:v>
      </x:c>
      <x:c r="I242" s="1" t="str">
        <x:v>Projection</x:v>
      </x:c>
    </x:row>
    <x:row r="243" ht="21" customHeight="1">
      <x:c r="A243" s="1" t="n">
        <x:v>232</x:v>
      </x:c>
      <x:c r="B243" s="6" t="n">
        <x:v>52901</x:v>
      </x:c>
      <x:c r="C243" s="7" t="n">
        <x:f>G242</x:f>
        <x:v>297606.93</x:v>
      </x:c>
      <x:c r="D243" s="7" t="n">
        <x:f>IF(A243=$B$7,ROUND(C243+E243,2),MIN($B$8,ROUND(C243+E243,2)))</x:f>
        <x:v>3151.17</x:v>
      </x:c>
      <x:c r="E243" s="7" t="n">
        <x:f>ROUND(C243*$B$6/12,2)</x:f>
        <x:v>1512.84</x:v>
      </x:c>
      <x:c r="F243" s="7" t="n">
        <x:f>ROUND(D243-E243,2)</x:f>
        <x:v>1638.33</x:v>
      </x:c>
      <x:c r="G243" s="7" t="n">
        <x:f>ROUND(C243-F243,2)</x:f>
        <x:v>295968.6</x:v>
      </x:c>
      <x:c r="H243" s="7" t="n">
        <x:f>ROUND(D243-E243-F243,2)</x:f>
        <x:v>0</x:v>
      </x:c>
      <x:c r="I243" s="1" t="str">
        <x:v>Projection</x:v>
      </x:c>
    </x:row>
    <x:row r="244" ht="21" customHeight="1">
      <x:c r="A244" s="1" t="n">
        <x:v>233</x:v>
      </x:c>
      <x:c r="B244" s="6" t="n">
        <x:v>52931</x:v>
      </x:c>
      <x:c r="C244" s="7" t="n">
        <x:f>G243</x:f>
        <x:v>295968.6</x:v>
      </x:c>
      <x:c r="D244" s="7" t="n">
        <x:f>IF(A244=$B$7,ROUND(C244+E244,2),MIN($B$8,ROUND(C244+E244,2)))</x:f>
        <x:v>3151.17</x:v>
      </x:c>
      <x:c r="E244" s="7" t="n">
        <x:f>ROUND(C244*$B$6/12,2)</x:f>
        <x:v>1504.51</x:v>
      </x:c>
      <x:c r="F244" s="7" t="n">
        <x:f>ROUND(D244-E244,2)</x:f>
        <x:v>1646.66</x:v>
      </x:c>
      <x:c r="G244" s="7" t="n">
        <x:f>ROUND(C244-F244,2)</x:f>
        <x:v>294321.94</x:v>
      </x:c>
      <x:c r="H244" s="7" t="n">
        <x:f>ROUND(D244-E244-F244,2)</x:f>
        <x:v>0</x:v>
      </x:c>
      <x:c r="I244" s="1" t="str">
        <x:v>Projection</x:v>
      </x:c>
    </x:row>
    <x:row r="245" ht="21" customHeight="1">
      <x:c r="A245" s="1" t="n">
        <x:v>234</x:v>
      </x:c>
      <x:c r="B245" s="6" t="n">
        <x:v>52962</x:v>
      </x:c>
      <x:c r="C245" s="7" t="n">
        <x:f>G244</x:f>
        <x:v>294321.94</x:v>
      </x:c>
      <x:c r="D245" s="7" t="n">
        <x:f>IF(A245=$B$7,ROUND(C245+E245,2),MIN($B$8,ROUND(C245+E245,2)))</x:f>
        <x:v>3151.17</x:v>
      </x:c>
      <x:c r="E245" s="7" t="n">
        <x:f>ROUND(C245*$B$6/12,2)</x:f>
        <x:v>1496.14</x:v>
      </x:c>
      <x:c r="F245" s="7" t="n">
        <x:f>ROUND(D245-E245,2)</x:f>
        <x:v>1655.03</x:v>
      </x:c>
      <x:c r="G245" s="7" t="n">
        <x:f>ROUND(C245-F245,2)</x:f>
        <x:v>292666.91</x:v>
      </x:c>
      <x:c r="H245" s="7" t="n">
        <x:f>ROUND(D245-E245-F245,2)</x:f>
        <x:v>0</x:v>
      </x:c>
      <x:c r="I245" s="1" t="str">
        <x:v>Projection</x:v>
      </x:c>
    </x:row>
    <x:row r="246" ht="21" customHeight="1">
      <x:c r="A246" s="1" t="n">
        <x:v>235</x:v>
      </x:c>
      <x:c r="B246" s="6" t="n">
        <x:v>52993</x:v>
      </x:c>
      <x:c r="C246" s="7" t="n">
        <x:f>G245</x:f>
        <x:v>292666.91</x:v>
      </x:c>
      <x:c r="D246" s="7" t="n">
        <x:f>IF(A246=$B$7,ROUND(C246+E246,2),MIN($B$8,ROUND(C246+E246,2)))</x:f>
        <x:v>3151.17</x:v>
      </x:c>
      <x:c r="E246" s="7" t="n">
        <x:f>ROUND(C246*$B$6/12,2)</x:f>
        <x:v>1487.72</x:v>
      </x:c>
      <x:c r="F246" s="7" t="n">
        <x:f>ROUND(D246-E246,2)</x:f>
        <x:v>1663.45</x:v>
      </x:c>
      <x:c r="G246" s="7" t="n">
        <x:f>ROUND(C246-F246,2)</x:f>
        <x:v>291003.46</x:v>
      </x:c>
      <x:c r="H246" s="7" t="n">
        <x:f>ROUND(D246-E246-F246,2)</x:f>
        <x:v>0</x:v>
      </x:c>
      <x:c r="I246" s="1" t="str">
        <x:v>Projection</x:v>
      </x:c>
    </x:row>
    <x:row r="247" ht="21" customHeight="1">
      <x:c r="A247" s="1" t="n">
        <x:v>236</x:v>
      </x:c>
      <x:c r="B247" s="6" t="n">
        <x:v>53021</x:v>
      </x:c>
      <x:c r="C247" s="7" t="n">
        <x:f>G246</x:f>
        <x:v>291003.46</x:v>
      </x:c>
      <x:c r="D247" s="7" t="n">
        <x:f>IF(A247=$B$7,ROUND(C247+E247,2),MIN($B$8,ROUND(C247+E247,2)))</x:f>
        <x:v>3151.17</x:v>
      </x:c>
      <x:c r="E247" s="7" t="n">
        <x:f>ROUND(C247*$B$6/12,2)</x:f>
        <x:v>1479.27</x:v>
      </x:c>
      <x:c r="F247" s="7" t="n">
        <x:f>ROUND(D247-E247,2)</x:f>
        <x:v>1671.9</x:v>
      </x:c>
      <x:c r="G247" s="7" t="n">
        <x:f>ROUND(C247-F247,2)</x:f>
        <x:v>289331.56</x:v>
      </x:c>
      <x:c r="H247" s="7" t="n">
        <x:f>ROUND(D247-E247-F247,2)</x:f>
        <x:v>0</x:v>
      </x:c>
      <x:c r="I247" s="1" t="str">
        <x:v>Projection</x:v>
      </x:c>
    </x:row>
    <x:row r="248" ht="21" customHeight="1">
      <x:c r="A248" s="1" t="n">
        <x:v>237</x:v>
      </x:c>
      <x:c r="B248" s="6" t="n">
        <x:v>53052</x:v>
      </x:c>
      <x:c r="C248" s="7" t="n">
        <x:f>G247</x:f>
        <x:v>289331.56</x:v>
      </x:c>
      <x:c r="D248" s="7" t="n">
        <x:f>IF(A248=$B$7,ROUND(C248+E248,2),MIN($B$8,ROUND(C248+E248,2)))</x:f>
        <x:v>3151.17</x:v>
      </x:c>
      <x:c r="E248" s="7" t="n">
        <x:f>ROUND(C248*$B$6/12,2)</x:f>
        <x:v>1470.77</x:v>
      </x:c>
      <x:c r="F248" s="7" t="n">
        <x:f>ROUND(D248-E248,2)</x:f>
        <x:v>1680.4</x:v>
      </x:c>
      <x:c r="G248" s="7" t="n">
        <x:f>ROUND(C248-F248,2)</x:f>
        <x:v>287651.16</x:v>
      </x:c>
      <x:c r="H248" s="7" t="n">
        <x:f>ROUND(D248-E248-F248,2)</x:f>
        <x:v>0</x:v>
      </x:c>
      <x:c r="I248" s="1" t="str">
        <x:v>Projection</x:v>
      </x:c>
    </x:row>
    <x:row r="249" ht="21" customHeight="1">
      <x:c r="A249" s="1" t="n">
        <x:v>238</x:v>
      </x:c>
      <x:c r="B249" s="6" t="n">
        <x:v>53082</x:v>
      </x:c>
      <x:c r="C249" s="7" t="n">
        <x:f>G248</x:f>
        <x:v>287651.16</x:v>
      </x:c>
      <x:c r="D249" s="7" t="n">
        <x:f>IF(A249=$B$7,ROUND(C249+E249,2),MIN($B$8,ROUND(C249+E249,2)))</x:f>
        <x:v>3151.17</x:v>
      </x:c>
      <x:c r="E249" s="7" t="n">
        <x:f>ROUND(C249*$B$6/12,2)</x:f>
        <x:v>1462.23</x:v>
      </x:c>
      <x:c r="F249" s="7" t="n">
        <x:f>ROUND(D249-E249,2)</x:f>
        <x:v>1688.94</x:v>
      </x:c>
      <x:c r="G249" s="7" t="n">
        <x:f>ROUND(C249-F249,2)</x:f>
        <x:v>285962.22</x:v>
      </x:c>
      <x:c r="H249" s="7" t="n">
        <x:f>ROUND(D249-E249-F249,2)</x:f>
        <x:v>0</x:v>
      </x:c>
      <x:c r="I249" s="1" t="str">
        <x:v>Projection</x:v>
      </x:c>
    </x:row>
    <x:row r="250" ht="21" customHeight="1">
      <x:c r="A250" s="1" t="n">
        <x:v>239</x:v>
      </x:c>
      <x:c r="B250" s="6" t="n">
        <x:v>53113</x:v>
      </x:c>
      <x:c r="C250" s="7" t="n">
        <x:f>G249</x:f>
        <x:v>285962.22</x:v>
      </x:c>
      <x:c r="D250" s="7" t="n">
        <x:f>IF(A250=$B$7,ROUND(C250+E250,2),MIN($B$8,ROUND(C250+E250,2)))</x:f>
        <x:v>3151.17</x:v>
      </x:c>
      <x:c r="E250" s="7" t="n">
        <x:f>ROUND(C250*$B$6/12,2)</x:f>
        <x:v>1453.64</x:v>
      </x:c>
      <x:c r="F250" s="7" t="n">
        <x:f>ROUND(D250-E250,2)</x:f>
        <x:v>1697.53</x:v>
      </x:c>
      <x:c r="G250" s="7" t="n">
        <x:f>ROUND(C250-F250,2)</x:f>
        <x:v>284264.69</x:v>
      </x:c>
      <x:c r="H250" s="7" t="n">
        <x:f>ROUND(D250-E250-F250,2)</x:f>
        <x:v>0</x:v>
      </x:c>
      <x:c r="I250" s="1" t="str">
        <x:v>Projection</x:v>
      </x:c>
    </x:row>
    <x:row r="251" ht="21" customHeight="1">
      <x:c r="A251" s="1" t="n">
        <x:v>240</x:v>
      </x:c>
      <x:c r="B251" s="6" t="n">
        <x:v>53143</x:v>
      </x:c>
      <x:c r="C251" s="7" t="n">
        <x:f>G250</x:f>
        <x:v>284264.69</x:v>
      </x:c>
      <x:c r="D251" s="7" t="n">
        <x:f>IF(A251=$B$7,ROUND(C251+E251,2),MIN($B$8,ROUND(C251+E251,2)))</x:f>
        <x:v>3151.17</x:v>
      </x:c>
      <x:c r="E251" s="7" t="n">
        <x:f>ROUND(C251*$B$6/12,2)</x:f>
        <x:v>1445.01</x:v>
      </x:c>
      <x:c r="F251" s="7" t="n">
        <x:f>ROUND(D251-E251,2)</x:f>
        <x:v>1706.16</x:v>
      </x:c>
      <x:c r="G251" s="7" t="n">
        <x:f>ROUND(C251-F251,2)</x:f>
        <x:v>282558.53</x:v>
      </x:c>
      <x:c r="H251" s="7" t="n">
        <x:f>ROUND(D251-E251-F251,2)</x:f>
        <x:v>0</x:v>
      </x:c>
      <x:c r="I251" s="1" t="str">
        <x:v>Projection</x:v>
      </x:c>
    </x:row>
    <x:row r="252" ht="21" customHeight="1">
      <x:c r="A252" s="1" t="n">
        <x:v>241</x:v>
      </x:c>
      <x:c r="B252" s="6" t="n">
        <x:v>53174</x:v>
      </x:c>
      <x:c r="C252" s="7" t="n">
        <x:f>G251</x:f>
        <x:v>282558.53</x:v>
      </x:c>
      <x:c r="D252" s="7" t="n">
        <x:f>IF(A252=$B$7,ROUND(C252+E252,2),MIN($B$8,ROUND(C252+E252,2)))</x:f>
        <x:v>3151.17</x:v>
      </x:c>
      <x:c r="E252" s="7" t="n">
        <x:f>ROUND(C252*$B$6/12,2)</x:f>
        <x:v>1436.34</x:v>
      </x:c>
      <x:c r="F252" s="7" t="n">
        <x:f>ROUND(D252-E252,2)</x:f>
        <x:v>1714.83</x:v>
      </x:c>
      <x:c r="G252" s="7" t="n">
        <x:f>ROUND(C252-F252,2)</x:f>
        <x:v>280843.7</x:v>
      </x:c>
      <x:c r="H252" s="7" t="n">
        <x:f>ROUND(D252-E252-F252,2)</x:f>
        <x:v>0</x:v>
      </x:c>
      <x:c r="I252" s="1" t="str">
        <x:v>Projection</x:v>
      </x:c>
    </x:row>
    <x:row r="253" ht="21" customHeight="1">
      <x:c r="A253" s="1" t="n">
        <x:v>242</x:v>
      </x:c>
      <x:c r="B253" s="6" t="n">
        <x:v>53205</x:v>
      </x:c>
      <x:c r="C253" s="7" t="n">
        <x:f>G252</x:f>
        <x:v>280843.7</x:v>
      </x:c>
      <x:c r="D253" s="7" t="n">
        <x:f>IF(A253=$B$7,ROUND(C253+E253,2),MIN($B$8,ROUND(C253+E253,2)))</x:f>
        <x:v>3151.17</x:v>
      </x:c>
      <x:c r="E253" s="7" t="n">
        <x:f>ROUND(C253*$B$6/12,2)</x:f>
        <x:v>1427.62</x:v>
      </x:c>
      <x:c r="F253" s="7" t="n">
        <x:f>ROUND(D253-E253,2)</x:f>
        <x:v>1723.55</x:v>
      </x:c>
      <x:c r="G253" s="7" t="n">
        <x:f>ROUND(C253-F253,2)</x:f>
        <x:v>279120.15</x:v>
      </x:c>
      <x:c r="H253" s="7" t="n">
        <x:f>ROUND(D253-E253-F253,2)</x:f>
        <x:v>0</x:v>
      </x:c>
      <x:c r="I253" s="1" t="str">
        <x:v>Projection</x:v>
      </x:c>
    </x:row>
    <x:row r="254" ht="21" customHeight="1">
      <x:c r="A254" s="1" t="n">
        <x:v>243</x:v>
      </x:c>
      <x:c r="B254" s="6" t="n">
        <x:v>53235</x:v>
      </x:c>
      <x:c r="C254" s="7" t="n">
        <x:f>G253</x:f>
        <x:v>279120.15</x:v>
      </x:c>
      <x:c r="D254" s="7" t="n">
        <x:f>IF(A254=$B$7,ROUND(C254+E254,2),MIN($B$8,ROUND(C254+E254,2)))</x:f>
        <x:v>3151.17</x:v>
      </x:c>
      <x:c r="E254" s="7" t="n">
        <x:f>ROUND(C254*$B$6/12,2)</x:f>
        <x:v>1418.86</x:v>
      </x:c>
      <x:c r="F254" s="7" t="n">
        <x:f>ROUND(D254-E254,2)</x:f>
        <x:v>1732.31</x:v>
      </x:c>
      <x:c r="G254" s="7" t="n">
        <x:f>ROUND(C254-F254,2)</x:f>
        <x:v>277387.84</x:v>
      </x:c>
      <x:c r="H254" s="7" t="n">
        <x:f>ROUND(D254-E254-F254,2)</x:f>
        <x:v>0</x:v>
      </x:c>
      <x:c r="I254" s="1" t="str">
        <x:v>Projection</x:v>
      </x:c>
    </x:row>
    <x:row r="255" ht="21" customHeight="1">
      <x:c r="A255" s="1" t="n">
        <x:v>244</x:v>
      </x:c>
      <x:c r="B255" s="6" t="n">
        <x:v>53266</x:v>
      </x:c>
      <x:c r="C255" s="7" t="n">
        <x:f>G254</x:f>
        <x:v>277387.84</x:v>
      </x:c>
      <x:c r="D255" s="7" t="n">
        <x:f>IF(A255=$B$7,ROUND(C255+E255,2),MIN($B$8,ROUND(C255+E255,2)))</x:f>
        <x:v>3151.17</x:v>
      </x:c>
      <x:c r="E255" s="7" t="n">
        <x:f>ROUND(C255*$B$6/12,2)</x:f>
        <x:v>1410.05</x:v>
      </x:c>
      <x:c r="F255" s="7" t="n">
        <x:f>ROUND(D255-E255,2)</x:f>
        <x:v>1741.12</x:v>
      </x:c>
      <x:c r="G255" s="7" t="n">
        <x:f>ROUND(C255-F255,2)</x:f>
        <x:v>275646.72</x:v>
      </x:c>
      <x:c r="H255" s="7" t="n">
        <x:f>ROUND(D255-E255-F255,2)</x:f>
        <x:v>0</x:v>
      </x:c>
      <x:c r="I255" s="1" t="str">
        <x:v>Projection</x:v>
      </x:c>
    </x:row>
    <x:row r="256" ht="21" customHeight="1">
      <x:c r="A256" s="1" t="n">
        <x:v>245</x:v>
      </x:c>
      <x:c r="B256" s="6" t="n">
        <x:v>53296</x:v>
      </x:c>
      <x:c r="C256" s="7" t="n">
        <x:f>G255</x:f>
        <x:v>275646.72</x:v>
      </x:c>
      <x:c r="D256" s="7" t="n">
        <x:f>IF(A256=$B$7,ROUND(C256+E256,2),MIN($B$8,ROUND(C256+E256,2)))</x:f>
        <x:v>3151.17</x:v>
      </x:c>
      <x:c r="E256" s="7" t="n">
        <x:f>ROUND(C256*$B$6/12,2)</x:f>
        <x:v>1401.2</x:v>
      </x:c>
      <x:c r="F256" s="7" t="n">
        <x:f>ROUND(D256-E256,2)</x:f>
        <x:v>1749.97</x:v>
      </x:c>
      <x:c r="G256" s="7" t="n">
        <x:f>ROUND(C256-F256,2)</x:f>
        <x:v>273896.75</x:v>
      </x:c>
      <x:c r="H256" s="7" t="n">
        <x:f>ROUND(D256-E256-F256,2)</x:f>
        <x:v>0</x:v>
      </x:c>
      <x:c r="I256" s="1" t="str">
        <x:v>Projection</x:v>
      </x:c>
    </x:row>
    <x:row r="257" ht="21" customHeight="1">
      <x:c r="A257" s="1" t="n">
        <x:v>246</x:v>
      </x:c>
      <x:c r="B257" s="6" t="n">
        <x:v>53327</x:v>
      </x:c>
      <x:c r="C257" s="7" t="n">
        <x:f>G256</x:f>
        <x:v>273896.75</x:v>
      </x:c>
      <x:c r="D257" s="7" t="n">
        <x:f>IF(A257=$B$7,ROUND(C257+E257,2),MIN($B$8,ROUND(C257+E257,2)))</x:f>
        <x:v>3151.17</x:v>
      </x:c>
      <x:c r="E257" s="7" t="n">
        <x:f>ROUND(C257*$B$6/12,2)</x:f>
        <x:v>1392.31</x:v>
      </x:c>
      <x:c r="F257" s="7" t="n">
        <x:f>ROUND(D257-E257,2)</x:f>
        <x:v>1758.86</x:v>
      </x:c>
      <x:c r="G257" s="7" t="n">
        <x:f>ROUND(C257-F257,2)</x:f>
        <x:v>272137.89</x:v>
      </x:c>
      <x:c r="H257" s="7" t="n">
        <x:f>ROUND(D257-E257-F257,2)</x:f>
        <x:v>0</x:v>
      </x:c>
      <x:c r="I257" s="1" t="str">
        <x:v>Projection</x:v>
      </x:c>
    </x:row>
    <x:row r="258" ht="21" customHeight="1">
      <x:c r="A258" s="1" t="n">
        <x:v>247</x:v>
      </x:c>
      <x:c r="B258" s="6" t="n">
        <x:v>53358</x:v>
      </x:c>
      <x:c r="C258" s="7" t="n">
        <x:f>G257</x:f>
        <x:v>272137.89</x:v>
      </x:c>
      <x:c r="D258" s="7" t="n">
        <x:f>IF(A258=$B$7,ROUND(C258+E258,2),MIN($B$8,ROUND(C258+E258,2)))</x:f>
        <x:v>3151.17</x:v>
      </x:c>
      <x:c r="E258" s="7" t="n">
        <x:f>ROUND(C258*$B$6/12,2)</x:f>
        <x:v>1383.37</x:v>
      </x:c>
      <x:c r="F258" s="7" t="n">
        <x:f>ROUND(D258-E258,2)</x:f>
        <x:v>1767.8</x:v>
      </x:c>
      <x:c r="G258" s="7" t="n">
        <x:f>ROUND(C258-F258,2)</x:f>
        <x:v>270370.09</x:v>
      </x:c>
      <x:c r="H258" s="7" t="n">
        <x:f>ROUND(D258-E258-F258,2)</x:f>
        <x:v>0</x:v>
      </x:c>
      <x:c r="I258" s="1" t="str">
        <x:v>Projection</x:v>
      </x:c>
    </x:row>
    <x:row r="259" ht="21" customHeight="1">
      <x:c r="A259" s="1" t="n">
        <x:v>248</x:v>
      </x:c>
      <x:c r="B259" s="6" t="n">
        <x:v>53386</x:v>
      </x:c>
      <x:c r="C259" s="7" t="n">
        <x:f>G258</x:f>
        <x:v>270370.09</x:v>
      </x:c>
      <x:c r="D259" s="7" t="n">
        <x:f>IF(A259=$B$7,ROUND(C259+E259,2),MIN($B$8,ROUND(C259+E259,2)))</x:f>
        <x:v>3151.17</x:v>
      </x:c>
      <x:c r="E259" s="7" t="n">
        <x:f>ROUND(C259*$B$6/12,2)</x:f>
        <x:v>1374.38</x:v>
      </x:c>
      <x:c r="F259" s="7" t="n">
        <x:f>ROUND(D259-E259,2)</x:f>
        <x:v>1776.79</x:v>
      </x:c>
      <x:c r="G259" s="7" t="n">
        <x:f>ROUND(C259-F259,2)</x:f>
        <x:v>268593.3</x:v>
      </x:c>
      <x:c r="H259" s="7" t="n">
        <x:f>ROUND(D259-E259-F259,2)</x:f>
        <x:v>0</x:v>
      </x:c>
      <x:c r="I259" s="1" t="str">
        <x:v>Projection</x:v>
      </x:c>
    </x:row>
    <x:row r="260" ht="21" customHeight="1">
      <x:c r="A260" s="1" t="n">
        <x:v>249</x:v>
      </x:c>
      <x:c r="B260" s="6" t="n">
        <x:v>53417</x:v>
      </x:c>
      <x:c r="C260" s="7" t="n">
        <x:f>G259</x:f>
        <x:v>268593.3</x:v>
      </x:c>
      <x:c r="D260" s="7" t="n">
        <x:f>IF(A260=$B$7,ROUND(C260+E260,2),MIN($B$8,ROUND(C260+E260,2)))</x:f>
        <x:v>3151.17</x:v>
      </x:c>
      <x:c r="E260" s="7" t="n">
        <x:f>ROUND(C260*$B$6/12,2)</x:f>
        <x:v>1365.35</x:v>
      </x:c>
      <x:c r="F260" s="7" t="n">
        <x:f>ROUND(D260-E260,2)</x:f>
        <x:v>1785.82</x:v>
      </x:c>
      <x:c r="G260" s="7" t="n">
        <x:f>ROUND(C260-F260,2)</x:f>
        <x:v>266807.48</x:v>
      </x:c>
      <x:c r="H260" s="7" t="n">
        <x:f>ROUND(D260-E260-F260,2)</x:f>
        <x:v>0</x:v>
      </x:c>
      <x:c r="I260" s="1" t="str">
        <x:v>Projection</x:v>
      </x:c>
    </x:row>
    <x:row r="261" ht="21" customHeight="1">
      <x:c r="A261" s="1" t="n">
        <x:v>250</x:v>
      </x:c>
      <x:c r="B261" s="6" t="n">
        <x:v>53447</x:v>
      </x:c>
      <x:c r="C261" s="7" t="n">
        <x:f>G260</x:f>
        <x:v>266807.48</x:v>
      </x:c>
      <x:c r="D261" s="7" t="n">
        <x:f>IF(A261=$B$7,ROUND(C261+E261,2),MIN($B$8,ROUND(C261+E261,2)))</x:f>
        <x:v>3151.17</x:v>
      </x:c>
      <x:c r="E261" s="7" t="n">
        <x:f>ROUND(C261*$B$6/12,2)</x:f>
        <x:v>1356.27</x:v>
      </x:c>
      <x:c r="F261" s="7" t="n">
        <x:f>ROUND(D261-E261,2)</x:f>
        <x:v>1794.9</x:v>
      </x:c>
      <x:c r="G261" s="7" t="n">
        <x:f>ROUND(C261-F261,2)</x:f>
        <x:v>265012.58</x:v>
      </x:c>
      <x:c r="H261" s="7" t="n">
        <x:f>ROUND(D261-E261-F261,2)</x:f>
        <x:v>0</x:v>
      </x:c>
      <x:c r="I261" s="1" t="str">
        <x:v>Projection</x:v>
      </x:c>
    </x:row>
    <x:row r="262" ht="21" customHeight="1">
      <x:c r="A262" s="1" t="n">
        <x:v>251</x:v>
      </x:c>
      <x:c r="B262" s="6" t="n">
        <x:v>53478</x:v>
      </x:c>
      <x:c r="C262" s="7" t="n">
        <x:f>G261</x:f>
        <x:v>265012.58</x:v>
      </x:c>
      <x:c r="D262" s="7" t="n">
        <x:f>IF(A262=$B$7,ROUND(C262+E262,2),MIN($B$8,ROUND(C262+E262,2)))</x:f>
        <x:v>3151.17</x:v>
      </x:c>
      <x:c r="E262" s="7" t="n">
        <x:f>ROUND(C262*$B$6/12,2)</x:f>
        <x:v>1347.15</x:v>
      </x:c>
      <x:c r="F262" s="7" t="n">
        <x:f>ROUND(D262-E262,2)</x:f>
        <x:v>1804.02</x:v>
      </x:c>
      <x:c r="G262" s="7" t="n">
        <x:f>ROUND(C262-F262,2)</x:f>
        <x:v>263208.56</x:v>
      </x:c>
      <x:c r="H262" s="7" t="n">
        <x:f>ROUND(D262-E262-F262,2)</x:f>
        <x:v>0</x:v>
      </x:c>
      <x:c r="I262" s="1" t="str">
        <x:v>Projection</x:v>
      </x:c>
    </x:row>
    <x:row r="263" ht="21" customHeight="1">
      <x:c r="A263" s="1" t="n">
        <x:v>252</x:v>
      </x:c>
      <x:c r="B263" s="6" t="n">
        <x:v>53508</x:v>
      </x:c>
      <x:c r="C263" s="7" t="n">
        <x:f>G262</x:f>
        <x:v>263208.56</x:v>
      </x:c>
      <x:c r="D263" s="7" t="n">
        <x:f>IF(A263=$B$7,ROUND(C263+E263,2),MIN($B$8,ROUND(C263+E263,2)))</x:f>
        <x:v>3151.17</x:v>
      </x:c>
      <x:c r="E263" s="7" t="n">
        <x:f>ROUND(C263*$B$6/12,2)</x:f>
        <x:v>1337.98</x:v>
      </x:c>
      <x:c r="F263" s="7" t="n">
        <x:f>ROUND(D263-E263,2)</x:f>
        <x:v>1813.19</x:v>
      </x:c>
      <x:c r="G263" s="7" t="n">
        <x:f>ROUND(C263-F263,2)</x:f>
        <x:v>261395.37</x:v>
      </x:c>
      <x:c r="H263" s="7" t="n">
        <x:f>ROUND(D263-E263-F263,2)</x:f>
        <x:v>0</x:v>
      </x:c>
      <x:c r="I263" s="1" t="str">
        <x:v>Projection</x:v>
      </x:c>
    </x:row>
    <x:row r="264" ht="21" customHeight="1">
      <x:c r="A264" s="1" t="n">
        <x:v>253</x:v>
      </x:c>
      <x:c r="B264" s="6" t="n">
        <x:v>53539</x:v>
      </x:c>
      <x:c r="C264" s="7" t="n">
        <x:f>G263</x:f>
        <x:v>261395.37</x:v>
      </x:c>
      <x:c r="D264" s="7" t="n">
        <x:f>IF(A264=$B$7,ROUND(C264+E264,2),MIN($B$8,ROUND(C264+E264,2)))</x:f>
        <x:v>3151.17</x:v>
      </x:c>
      <x:c r="E264" s="7" t="n">
        <x:f>ROUND(C264*$B$6/12,2)</x:f>
        <x:v>1328.76</x:v>
      </x:c>
      <x:c r="F264" s="7" t="n">
        <x:f>ROUND(D264-E264,2)</x:f>
        <x:v>1822.41</x:v>
      </x:c>
      <x:c r="G264" s="7" t="n">
        <x:f>ROUND(C264-F264,2)</x:f>
        <x:v>259572.96</x:v>
      </x:c>
      <x:c r="H264" s="7" t="n">
        <x:f>ROUND(D264-E264-F264,2)</x:f>
        <x:v>0</x:v>
      </x:c>
      <x:c r="I264" s="1" t="str">
        <x:v>Projection</x:v>
      </x:c>
    </x:row>
    <x:row r="265" ht="21" customHeight="1">
      <x:c r="A265" s="1" t="n">
        <x:v>254</x:v>
      </x:c>
      <x:c r="B265" s="6" t="n">
        <x:v>53570</x:v>
      </x:c>
      <x:c r="C265" s="7" t="n">
        <x:f>G264</x:f>
        <x:v>259572.96</x:v>
      </x:c>
      <x:c r="D265" s="7" t="n">
        <x:f>IF(A265=$B$7,ROUND(C265+E265,2),MIN($B$8,ROUND(C265+E265,2)))</x:f>
        <x:v>3151.17</x:v>
      </x:c>
      <x:c r="E265" s="7" t="n">
        <x:f>ROUND(C265*$B$6/12,2)</x:f>
        <x:v>1319.5</x:v>
      </x:c>
      <x:c r="F265" s="7" t="n">
        <x:f>ROUND(D265-E265,2)</x:f>
        <x:v>1831.67</x:v>
      </x:c>
      <x:c r="G265" s="7" t="n">
        <x:f>ROUND(C265-F265,2)</x:f>
        <x:v>257741.29</x:v>
      </x:c>
      <x:c r="H265" s="7" t="n">
        <x:f>ROUND(D265-E265-F265,2)</x:f>
        <x:v>0</x:v>
      </x:c>
      <x:c r="I265" s="1" t="str">
        <x:v>Projection</x:v>
      </x:c>
    </x:row>
    <x:row r="266" ht="21" customHeight="1">
      <x:c r="A266" s="1" t="n">
        <x:v>255</x:v>
      </x:c>
      <x:c r="B266" s="6" t="n">
        <x:v>53600</x:v>
      </x:c>
      <x:c r="C266" s="7" t="n">
        <x:f>G265</x:f>
        <x:v>257741.29</x:v>
      </x:c>
      <x:c r="D266" s="7" t="n">
        <x:f>IF(A266=$B$7,ROUND(C266+E266,2),MIN($B$8,ROUND(C266+E266,2)))</x:f>
        <x:v>3151.17</x:v>
      </x:c>
      <x:c r="E266" s="7" t="n">
        <x:f>ROUND(C266*$B$6/12,2)</x:f>
        <x:v>1310.18</x:v>
      </x:c>
      <x:c r="F266" s="7" t="n">
        <x:f>ROUND(D266-E266,2)</x:f>
        <x:v>1840.99</x:v>
      </x:c>
      <x:c r="G266" s="7" t="n">
        <x:f>ROUND(C266-F266,2)</x:f>
        <x:v>255900.3</x:v>
      </x:c>
      <x:c r="H266" s="7" t="n">
        <x:f>ROUND(D266-E266-F266,2)</x:f>
        <x:v>0</x:v>
      </x:c>
      <x:c r="I266" s="1" t="str">
        <x:v>Projection</x:v>
      </x:c>
    </x:row>
    <x:row r="267" ht="21" customHeight="1">
      <x:c r="A267" s="1" t="n">
        <x:v>256</x:v>
      </x:c>
      <x:c r="B267" s="6" t="n">
        <x:v>53631</x:v>
      </x:c>
      <x:c r="C267" s="7" t="n">
        <x:f>G266</x:f>
        <x:v>255900.3</x:v>
      </x:c>
      <x:c r="D267" s="7" t="n">
        <x:f>IF(A267=$B$7,ROUND(C267+E267,2),MIN($B$8,ROUND(C267+E267,2)))</x:f>
        <x:v>3151.17</x:v>
      </x:c>
      <x:c r="E267" s="7" t="n">
        <x:f>ROUND(C267*$B$6/12,2)</x:f>
        <x:v>1300.83</x:v>
      </x:c>
      <x:c r="F267" s="7" t="n">
        <x:f>ROUND(D267-E267,2)</x:f>
        <x:v>1850.34</x:v>
      </x:c>
      <x:c r="G267" s="7" t="n">
        <x:f>ROUND(C267-F267,2)</x:f>
        <x:v>254049.96</x:v>
      </x:c>
      <x:c r="H267" s="7" t="n">
        <x:f>ROUND(D267-E267-F267,2)</x:f>
        <x:v>0</x:v>
      </x:c>
      <x:c r="I267" s="1" t="str">
        <x:v>Projection</x:v>
      </x:c>
    </x:row>
    <x:row r="268" ht="21" customHeight="1">
      <x:c r="A268" s="1" t="n">
        <x:v>257</x:v>
      </x:c>
      <x:c r="B268" s="6" t="n">
        <x:v>53661</x:v>
      </x:c>
      <x:c r="C268" s="7" t="n">
        <x:f>G267</x:f>
        <x:v>254049.96</x:v>
      </x:c>
      <x:c r="D268" s="7" t="n">
        <x:f>IF(A268=$B$7,ROUND(C268+E268,2),MIN($B$8,ROUND(C268+E268,2)))</x:f>
        <x:v>3151.17</x:v>
      </x:c>
      <x:c r="E268" s="7" t="n">
        <x:f>ROUND(C268*$B$6/12,2)</x:f>
        <x:v>1291.42</x:v>
      </x:c>
      <x:c r="F268" s="7" t="n">
        <x:f>ROUND(D268-E268,2)</x:f>
        <x:v>1859.75</x:v>
      </x:c>
      <x:c r="G268" s="7" t="n">
        <x:f>ROUND(C268-F268,2)</x:f>
        <x:v>252190.21</x:v>
      </x:c>
      <x:c r="H268" s="7" t="n">
        <x:f>ROUND(D268-E268-F268,2)</x:f>
        <x:v>0</x:v>
      </x:c>
      <x:c r="I268" s="1" t="str">
        <x:v>Projection</x:v>
      </x:c>
    </x:row>
    <x:row r="269" ht="21" customHeight="1">
      <x:c r="A269" s="1" t="n">
        <x:v>258</x:v>
      </x:c>
      <x:c r="B269" s="6" t="n">
        <x:v>53692</x:v>
      </x:c>
      <x:c r="C269" s="7" t="n">
        <x:f>G268</x:f>
        <x:v>252190.21</x:v>
      </x:c>
      <x:c r="D269" s="7" t="n">
        <x:f>IF(A269=$B$7,ROUND(C269+E269,2),MIN($B$8,ROUND(C269+E269,2)))</x:f>
        <x:v>3151.17</x:v>
      </x:c>
      <x:c r="E269" s="7" t="n">
        <x:f>ROUND(C269*$B$6/12,2)</x:f>
        <x:v>1281.97</x:v>
      </x:c>
      <x:c r="F269" s="7" t="n">
        <x:f>ROUND(D269-E269,2)</x:f>
        <x:v>1869.2</x:v>
      </x:c>
      <x:c r="G269" s="7" t="n">
        <x:f>ROUND(C269-F269,2)</x:f>
        <x:v>250321.01</x:v>
      </x:c>
      <x:c r="H269" s="7" t="n">
        <x:f>ROUND(D269-E269-F269,2)</x:f>
        <x:v>0</x:v>
      </x:c>
      <x:c r="I269" s="1" t="str">
        <x:v>Projection</x:v>
      </x:c>
    </x:row>
    <x:row r="270" ht="21" customHeight="1">
      <x:c r="A270" s="1" t="n">
        <x:v>259</x:v>
      </x:c>
      <x:c r="B270" s="6" t="n">
        <x:v>53723</x:v>
      </x:c>
      <x:c r="C270" s="7" t="n">
        <x:f>G269</x:f>
        <x:v>250321.01</x:v>
      </x:c>
      <x:c r="D270" s="7" t="n">
        <x:f>IF(A270=$B$7,ROUND(C270+E270,2),MIN($B$8,ROUND(C270+E270,2)))</x:f>
        <x:v>3151.17</x:v>
      </x:c>
      <x:c r="E270" s="7" t="n">
        <x:f>ROUND(C270*$B$6/12,2)</x:f>
        <x:v>1272.47</x:v>
      </x:c>
      <x:c r="F270" s="7" t="n">
        <x:f>ROUND(D270-E270,2)</x:f>
        <x:v>1878.7</x:v>
      </x:c>
      <x:c r="G270" s="7" t="n">
        <x:f>ROUND(C270-F270,2)</x:f>
        <x:v>248442.31</x:v>
      </x:c>
      <x:c r="H270" s="7" t="n">
        <x:f>ROUND(D270-E270-F270,2)</x:f>
        <x:v>0</x:v>
      </x:c>
      <x:c r="I270" s="1" t="str">
        <x:v>Projection</x:v>
      </x:c>
    </x:row>
    <x:row r="271" ht="21" customHeight="1">
      <x:c r="A271" s="1" t="n">
        <x:v>260</x:v>
      </x:c>
      <x:c r="B271" s="6" t="n">
        <x:v>53751</x:v>
      </x:c>
      <x:c r="C271" s="7" t="n">
        <x:f>G270</x:f>
        <x:v>248442.31</x:v>
      </x:c>
      <x:c r="D271" s="7" t="n">
        <x:f>IF(A271=$B$7,ROUND(C271+E271,2),MIN($B$8,ROUND(C271+E271,2)))</x:f>
        <x:v>3151.17</x:v>
      </x:c>
      <x:c r="E271" s="7" t="n">
        <x:f>ROUND(C271*$B$6/12,2)</x:f>
        <x:v>1262.92</x:v>
      </x:c>
      <x:c r="F271" s="7" t="n">
        <x:f>ROUND(D271-E271,2)</x:f>
        <x:v>1888.25</x:v>
      </x:c>
      <x:c r="G271" s="7" t="n">
        <x:f>ROUND(C271-F271,2)</x:f>
        <x:v>246554.06</x:v>
      </x:c>
      <x:c r="H271" s="7" t="n">
        <x:f>ROUND(D271-E271-F271,2)</x:f>
        <x:v>0</x:v>
      </x:c>
      <x:c r="I271" s="1" t="str">
        <x:v>Projection</x:v>
      </x:c>
    </x:row>
    <x:row r="272" ht="21" customHeight="1">
      <x:c r="A272" s="1" t="n">
        <x:v>261</x:v>
      </x:c>
      <x:c r="B272" s="6" t="n">
        <x:v>53782</x:v>
      </x:c>
      <x:c r="C272" s="7" t="n">
        <x:f>G271</x:f>
        <x:v>246554.06</x:v>
      </x:c>
      <x:c r="D272" s="7" t="n">
        <x:f>IF(A272=$B$7,ROUND(C272+E272,2),MIN($B$8,ROUND(C272+E272,2)))</x:f>
        <x:v>3151.17</x:v>
      </x:c>
      <x:c r="E272" s="7" t="n">
        <x:f>ROUND(C272*$B$6/12,2)</x:f>
        <x:v>1253.32</x:v>
      </x:c>
      <x:c r="F272" s="7" t="n">
        <x:f>ROUND(D272-E272,2)</x:f>
        <x:v>1897.85</x:v>
      </x:c>
      <x:c r="G272" s="7" t="n">
        <x:f>ROUND(C272-F272,2)</x:f>
        <x:v>244656.21</x:v>
      </x:c>
      <x:c r="H272" s="7" t="n">
        <x:f>ROUND(D272-E272-F272,2)</x:f>
        <x:v>0</x:v>
      </x:c>
      <x:c r="I272" s="1" t="str">
        <x:v>Projection</x:v>
      </x:c>
    </x:row>
    <x:row r="273" ht="21" customHeight="1">
      <x:c r="A273" s="1" t="n">
        <x:v>262</x:v>
      </x:c>
      <x:c r="B273" s="6" t="n">
        <x:v>53812</x:v>
      </x:c>
      <x:c r="C273" s="7" t="n">
        <x:f>G272</x:f>
        <x:v>244656.21</x:v>
      </x:c>
      <x:c r="D273" s="7" t="n">
        <x:f>IF(A273=$B$7,ROUND(C273+E273,2),MIN($B$8,ROUND(C273+E273,2)))</x:f>
        <x:v>3151.17</x:v>
      </x:c>
      <x:c r="E273" s="7" t="n">
        <x:f>ROUND(C273*$B$6/12,2)</x:f>
        <x:v>1243.67</x:v>
      </x:c>
      <x:c r="F273" s="7" t="n">
        <x:f>ROUND(D273-E273,2)</x:f>
        <x:v>1907.5</x:v>
      </x:c>
      <x:c r="G273" s="7" t="n">
        <x:f>ROUND(C273-F273,2)</x:f>
        <x:v>242748.71</x:v>
      </x:c>
      <x:c r="H273" s="7" t="n">
        <x:f>ROUND(D273-E273-F273,2)</x:f>
        <x:v>0</x:v>
      </x:c>
      <x:c r="I273" s="1" t="str">
        <x:v>Projection</x:v>
      </x:c>
    </x:row>
    <x:row r="274" ht="21" customHeight="1">
      <x:c r="A274" s="1" t="n">
        <x:v>263</x:v>
      </x:c>
      <x:c r="B274" s="6" t="n">
        <x:v>53843</x:v>
      </x:c>
      <x:c r="C274" s="7" t="n">
        <x:f>G273</x:f>
        <x:v>242748.71</x:v>
      </x:c>
      <x:c r="D274" s="7" t="n">
        <x:f>IF(A274=$B$7,ROUND(C274+E274,2),MIN($B$8,ROUND(C274+E274,2)))</x:f>
        <x:v>3151.17</x:v>
      </x:c>
      <x:c r="E274" s="7" t="n">
        <x:f>ROUND(C274*$B$6/12,2)</x:f>
        <x:v>1233.97</x:v>
      </x:c>
      <x:c r="F274" s="7" t="n">
        <x:f>ROUND(D274-E274,2)</x:f>
        <x:v>1917.2</x:v>
      </x:c>
      <x:c r="G274" s="7" t="n">
        <x:f>ROUND(C274-F274,2)</x:f>
        <x:v>240831.51</x:v>
      </x:c>
      <x:c r="H274" s="7" t="n">
        <x:f>ROUND(D274-E274-F274,2)</x:f>
        <x:v>0</x:v>
      </x:c>
      <x:c r="I274" s="1" t="str">
        <x:v>Projection</x:v>
      </x:c>
    </x:row>
    <x:row r="275" ht="21" customHeight="1">
      <x:c r="A275" s="1" t="n">
        <x:v>264</x:v>
      </x:c>
      <x:c r="B275" s="6" t="n">
        <x:v>53873</x:v>
      </x:c>
      <x:c r="C275" s="7" t="n">
        <x:f>G274</x:f>
        <x:v>240831.51</x:v>
      </x:c>
      <x:c r="D275" s="7" t="n">
        <x:f>IF(A275=$B$7,ROUND(C275+E275,2),MIN($B$8,ROUND(C275+E275,2)))</x:f>
        <x:v>3151.17</x:v>
      </x:c>
      <x:c r="E275" s="7" t="n">
        <x:f>ROUND(C275*$B$6/12,2)</x:f>
        <x:v>1224.23</x:v>
      </x:c>
      <x:c r="F275" s="7" t="n">
        <x:f>ROUND(D275-E275,2)</x:f>
        <x:v>1926.94</x:v>
      </x:c>
      <x:c r="G275" s="7" t="n">
        <x:f>ROUND(C275-F275,2)</x:f>
        <x:v>238904.57</x:v>
      </x:c>
      <x:c r="H275" s="7" t="n">
        <x:f>ROUND(D275-E275-F275,2)</x:f>
        <x:v>0</x:v>
      </x:c>
      <x:c r="I275" s="1" t="str">
        <x:v>Projection</x:v>
      </x:c>
    </x:row>
    <x:row r="276" ht="21" customHeight="1">
      <x:c r="A276" s="1" t="n">
        <x:v>265</x:v>
      </x:c>
      <x:c r="B276" s="6" t="n">
        <x:v>53904</x:v>
      </x:c>
      <x:c r="C276" s="7" t="n">
        <x:f>G275</x:f>
        <x:v>238904.57</x:v>
      </x:c>
      <x:c r="D276" s="7" t="n">
        <x:f>IF(A276=$B$7,ROUND(C276+E276,2),MIN($B$8,ROUND(C276+E276,2)))</x:f>
        <x:v>3151.17</x:v>
      </x:c>
      <x:c r="E276" s="7" t="n">
        <x:f>ROUND(C276*$B$6/12,2)</x:f>
        <x:v>1214.43</x:v>
      </x:c>
      <x:c r="F276" s="7" t="n">
        <x:f>ROUND(D276-E276,2)</x:f>
        <x:v>1936.74</x:v>
      </x:c>
      <x:c r="G276" s="7" t="n">
        <x:f>ROUND(C276-F276,2)</x:f>
        <x:v>236967.83</x:v>
      </x:c>
      <x:c r="H276" s="7" t="n">
        <x:f>ROUND(D276-E276-F276,2)</x:f>
        <x:v>0</x:v>
      </x:c>
      <x:c r="I276" s="1" t="str">
        <x:v>Projection</x:v>
      </x:c>
    </x:row>
    <x:row r="277" ht="21" customHeight="1">
      <x:c r="A277" s="1" t="n">
        <x:v>266</x:v>
      </x:c>
      <x:c r="B277" s="6" t="n">
        <x:v>53935</x:v>
      </x:c>
      <x:c r="C277" s="7" t="n">
        <x:f>G276</x:f>
        <x:v>236967.83</x:v>
      </x:c>
      <x:c r="D277" s="7" t="n">
        <x:f>IF(A277=$B$7,ROUND(C277+E277,2),MIN($B$8,ROUND(C277+E277,2)))</x:f>
        <x:v>3151.17</x:v>
      </x:c>
      <x:c r="E277" s="7" t="n">
        <x:f>ROUND(C277*$B$6/12,2)</x:f>
        <x:v>1204.59</x:v>
      </x:c>
      <x:c r="F277" s="7" t="n">
        <x:f>ROUND(D277-E277,2)</x:f>
        <x:v>1946.58</x:v>
      </x:c>
      <x:c r="G277" s="7" t="n">
        <x:f>ROUND(C277-F277,2)</x:f>
        <x:v>235021.25</x:v>
      </x:c>
      <x:c r="H277" s="7" t="n">
        <x:f>ROUND(D277-E277-F277,2)</x:f>
        <x:v>0</x:v>
      </x:c>
      <x:c r="I277" s="1" t="str">
        <x:v>Projection</x:v>
      </x:c>
    </x:row>
    <x:row r="278" ht="21" customHeight="1">
      <x:c r="A278" s="1" t="n">
        <x:v>267</x:v>
      </x:c>
      <x:c r="B278" s="6" t="n">
        <x:v>53965</x:v>
      </x:c>
      <x:c r="C278" s="7" t="n">
        <x:f>G277</x:f>
        <x:v>235021.25</x:v>
      </x:c>
      <x:c r="D278" s="7" t="n">
        <x:f>IF(A278=$B$7,ROUND(C278+E278,2),MIN($B$8,ROUND(C278+E278,2)))</x:f>
        <x:v>3151.17</x:v>
      </x:c>
      <x:c r="E278" s="7" t="n">
        <x:f>ROUND(C278*$B$6/12,2)</x:f>
        <x:v>1194.69</x:v>
      </x:c>
      <x:c r="F278" s="7" t="n">
        <x:f>ROUND(D278-E278,2)</x:f>
        <x:v>1956.48</x:v>
      </x:c>
      <x:c r="G278" s="7" t="n">
        <x:f>ROUND(C278-F278,2)</x:f>
        <x:v>233064.77</x:v>
      </x:c>
      <x:c r="H278" s="7" t="n">
        <x:f>ROUND(D278-E278-F278,2)</x:f>
        <x:v>0</x:v>
      </x:c>
      <x:c r="I278" s="1" t="str">
        <x:v>Projection</x:v>
      </x:c>
    </x:row>
    <x:row r="279" ht="21" customHeight="1">
      <x:c r="A279" s="1" t="n">
        <x:v>268</x:v>
      </x:c>
      <x:c r="B279" s="6" t="n">
        <x:v>53996</x:v>
      </x:c>
      <x:c r="C279" s="7" t="n">
        <x:f>G278</x:f>
        <x:v>233064.77</x:v>
      </x:c>
      <x:c r="D279" s="7" t="n">
        <x:f>IF(A279=$B$7,ROUND(C279+E279,2),MIN($B$8,ROUND(C279+E279,2)))</x:f>
        <x:v>3151.17</x:v>
      </x:c>
      <x:c r="E279" s="7" t="n">
        <x:f>ROUND(C279*$B$6/12,2)</x:f>
        <x:v>1184.75</x:v>
      </x:c>
      <x:c r="F279" s="7" t="n">
        <x:f>ROUND(D279-E279,2)</x:f>
        <x:v>1966.42</x:v>
      </x:c>
      <x:c r="G279" s="7" t="n">
        <x:f>ROUND(C279-F279,2)</x:f>
        <x:v>231098.35</x:v>
      </x:c>
      <x:c r="H279" s="7" t="n">
        <x:f>ROUND(D279-E279-F279,2)</x:f>
        <x:v>0</x:v>
      </x:c>
      <x:c r="I279" s="1" t="str">
        <x:v>Projection</x:v>
      </x:c>
    </x:row>
    <x:row r="280" ht="21" customHeight="1">
      <x:c r="A280" s="1" t="n">
        <x:v>269</x:v>
      </x:c>
      <x:c r="B280" s="6" t="n">
        <x:v>54026</x:v>
      </x:c>
      <x:c r="C280" s="7" t="n">
        <x:f>G279</x:f>
        <x:v>231098.35</x:v>
      </x:c>
      <x:c r="D280" s="7" t="n">
        <x:f>IF(A280=$B$7,ROUND(C280+E280,2),MIN($B$8,ROUND(C280+E280,2)))</x:f>
        <x:v>3151.17</x:v>
      </x:c>
      <x:c r="E280" s="7" t="n">
        <x:f>ROUND(C280*$B$6/12,2)</x:f>
        <x:v>1174.75</x:v>
      </x:c>
      <x:c r="F280" s="7" t="n">
        <x:f>ROUND(D280-E280,2)</x:f>
        <x:v>1976.42</x:v>
      </x:c>
      <x:c r="G280" s="7" t="n">
        <x:f>ROUND(C280-F280,2)</x:f>
        <x:v>229121.93</x:v>
      </x:c>
      <x:c r="H280" s="7" t="n">
        <x:f>ROUND(D280-E280-F280,2)</x:f>
        <x:v>0</x:v>
      </x:c>
      <x:c r="I280" s="1" t="str">
        <x:v>Projection</x:v>
      </x:c>
    </x:row>
    <x:row r="281" ht="21" customHeight="1">
      <x:c r="A281" s="1" t="n">
        <x:v>270</x:v>
      </x:c>
      <x:c r="B281" s="6" t="n">
        <x:v>54057</x:v>
      </x:c>
      <x:c r="C281" s="7" t="n">
        <x:f>G280</x:f>
        <x:v>229121.93</x:v>
      </x:c>
      <x:c r="D281" s="7" t="n">
        <x:f>IF(A281=$B$7,ROUND(C281+E281,2),MIN($B$8,ROUND(C281+E281,2)))</x:f>
        <x:v>3151.17</x:v>
      </x:c>
      <x:c r="E281" s="7" t="n">
        <x:f>ROUND(C281*$B$6/12,2)</x:f>
        <x:v>1164.7</x:v>
      </x:c>
      <x:c r="F281" s="7" t="n">
        <x:f>ROUND(D281-E281,2)</x:f>
        <x:v>1986.47</x:v>
      </x:c>
      <x:c r="G281" s="7" t="n">
        <x:f>ROUND(C281-F281,2)</x:f>
        <x:v>227135.46</x:v>
      </x:c>
      <x:c r="H281" s="7" t="n">
        <x:f>ROUND(D281-E281-F281,2)</x:f>
        <x:v>0</x:v>
      </x:c>
      <x:c r="I281" s="1" t="str">
        <x:v>Projection</x:v>
      </x:c>
    </x:row>
    <x:row r="282" ht="21" customHeight="1">
      <x:c r="A282" s="1" t="n">
        <x:v>271</x:v>
      </x:c>
      <x:c r="B282" s="6" t="n">
        <x:v>54088</x:v>
      </x:c>
      <x:c r="C282" s="7" t="n">
        <x:f>G281</x:f>
        <x:v>227135.46</x:v>
      </x:c>
      <x:c r="D282" s="7" t="n">
        <x:f>IF(A282=$B$7,ROUND(C282+E282,2),MIN($B$8,ROUND(C282+E282,2)))</x:f>
        <x:v>3151.17</x:v>
      </x:c>
      <x:c r="E282" s="7" t="n">
        <x:f>ROUND(C282*$B$6/12,2)</x:f>
        <x:v>1154.61</x:v>
      </x:c>
      <x:c r="F282" s="7" t="n">
        <x:f>ROUND(D282-E282,2)</x:f>
        <x:v>1996.56</x:v>
      </x:c>
      <x:c r="G282" s="7" t="n">
        <x:f>ROUND(C282-F282,2)</x:f>
        <x:v>225138.9</x:v>
      </x:c>
      <x:c r="H282" s="7" t="n">
        <x:f>ROUND(D282-E282-F282,2)</x:f>
        <x:v>0</x:v>
      </x:c>
      <x:c r="I282" s="1" t="str">
        <x:v>Projection</x:v>
      </x:c>
    </x:row>
    <x:row r="283" ht="21" customHeight="1">
      <x:c r="A283" s="1" t="n">
        <x:v>272</x:v>
      </x:c>
      <x:c r="B283" s="6" t="n">
        <x:v>54117</x:v>
      </x:c>
      <x:c r="C283" s="7" t="n">
        <x:f>G282</x:f>
        <x:v>225138.9</x:v>
      </x:c>
      <x:c r="D283" s="7" t="n">
        <x:f>IF(A283=$B$7,ROUND(C283+E283,2),MIN($B$8,ROUND(C283+E283,2)))</x:f>
        <x:v>3151.17</x:v>
      </x:c>
      <x:c r="E283" s="7" t="n">
        <x:f>ROUND(C283*$B$6/12,2)</x:f>
        <x:v>1144.46</x:v>
      </x:c>
      <x:c r="F283" s="7" t="n">
        <x:f>ROUND(D283-E283,2)</x:f>
        <x:v>2006.71</x:v>
      </x:c>
      <x:c r="G283" s="7" t="n">
        <x:f>ROUND(C283-F283,2)</x:f>
        <x:v>223132.19</x:v>
      </x:c>
      <x:c r="H283" s="7" t="n">
        <x:f>ROUND(D283-E283-F283,2)</x:f>
        <x:v>0</x:v>
      </x:c>
      <x:c r="I283" s="1" t="str">
        <x:v>Projection</x:v>
      </x:c>
    </x:row>
    <x:row r="284" ht="21" customHeight="1">
      <x:c r="A284" s="1" t="n">
        <x:v>273</x:v>
      </x:c>
      <x:c r="B284" s="6" t="n">
        <x:v>54148</x:v>
      </x:c>
      <x:c r="C284" s="7" t="n">
        <x:f>G283</x:f>
        <x:v>223132.19</x:v>
      </x:c>
      <x:c r="D284" s="7" t="n">
        <x:f>IF(A284=$B$7,ROUND(C284+E284,2),MIN($B$8,ROUND(C284+E284,2)))</x:f>
        <x:v>3151.17</x:v>
      </x:c>
      <x:c r="E284" s="7" t="n">
        <x:f>ROUND(C284*$B$6/12,2)</x:f>
        <x:v>1134.26</x:v>
      </x:c>
      <x:c r="F284" s="7" t="n">
        <x:f>ROUND(D284-E284,2)</x:f>
        <x:v>2016.91</x:v>
      </x:c>
      <x:c r="G284" s="7" t="n">
        <x:f>ROUND(C284-F284,2)</x:f>
        <x:v>221115.28</x:v>
      </x:c>
      <x:c r="H284" s="7" t="n">
        <x:f>ROUND(D284-E284-F284,2)</x:f>
        <x:v>0</x:v>
      </x:c>
      <x:c r="I284" s="1" t="str">
        <x:v>Projection</x:v>
      </x:c>
    </x:row>
    <x:row r="285" ht="21" customHeight="1">
      <x:c r="A285" s="1" t="n">
        <x:v>274</x:v>
      </x:c>
      <x:c r="B285" s="6" t="n">
        <x:v>54178</x:v>
      </x:c>
      <x:c r="C285" s="7" t="n">
        <x:f>G284</x:f>
        <x:v>221115.28</x:v>
      </x:c>
      <x:c r="D285" s="7" t="n">
        <x:f>IF(A285=$B$7,ROUND(C285+E285,2),MIN($B$8,ROUND(C285+E285,2)))</x:f>
        <x:v>3151.17</x:v>
      </x:c>
      <x:c r="E285" s="7" t="n">
        <x:f>ROUND(C285*$B$6/12,2)</x:f>
        <x:v>1124</x:v>
      </x:c>
      <x:c r="F285" s="7" t="n">
        <x:f>ROUND(D285-E285,2)</x:f>
        <x:v>2027.17</x:v>
      </x:c>
      <x:c r="G285" s="7" t="n">
        <x:f>ROUND(C285-F285,2)</x:f>
        <x:v>219088.11</x:v>
      </x:c>
      <x:c r="H285" s="7" t="n">
        <x:f>ROUND(D285-E285-F285,2)</x:f>
        <x:v>0</x:v>
      </x:c>
      <x:c r="I285" s="1" t="str">
        <x:v>Projection</x:v>
      </x:c>
    </x:row>
    <x:row r="286" ht="21" customHeight="1">
      <x:c r="A286" s="1" t="n">
        <x:v>275</x:v>
      </x:c>
      <x:c r="B286" s="6" t="n">
        <x:v>54209</x:v>
      </x:c>
      <x:c r="C286" s="7" t="n">
        <x:f>G285</x:f>
        <x:v>219088.11</x:v>
      </x:c>
      <x:c r="D286" s="7" t="n">
        <x:f>IF(A286=$B$7,ROUND(C286+E286,2),MIN($B$8,ROUND(C286+E286,2)))</x:f>
        <x:v>3151.17</x:v>
      </x:c>
      <x:c r="E286" s="7" t="n">
        <x:f>ROUND(C286*$B$6/12,2)</x:f>
        <x:v>1113.7</x:v>
      </x:c>
      <x:c r="F286" s="7" t="n">
        <x:f>ROUND(D286-E286,2)</x:f>
        <x:v>2037.47</x:v>
      </x:c>
      <x:c r="G286" s="7" t="n">
        <x:f>ROUND(C286-F286,2)</x:f>
        <x:v>217050.64</x:v>
      </x:c>
      <x:c r="H286" s="7" t="n">
        <x:f>ROUND(D286-E286-F286,2)</x:f>
        <x:v>0</x:v>
      </x:c>
      <x:c r="I286" s="1" t="str">
        <x:v>Projection</x:v>
      </x:c>
    </x:row>
    <x:row r="287" ht="21" customHeight="1">
      <x:c r="A287" s="1" t="n">
        <x:v>276</x:v>
      </x:c>
      <x:c r="B287" s="6" t="n">
        <x:v>54239</x:v>
      </x:c>
      <x:c r="C287" s="7" t="n">
        <x:f>G286</x:f>
        <x:v>217050.64</x:v>
      </x:c>
      <x:c r="D287" s="7" t="n">
        <x:f>IF(A287=$B$7,ROUND(C287+E287,2),MIN($B$8,ROUND(C287+E287,2)))</x:f>
        <x:v>3151.17</x:v>
      </x:c>
      <x:c r="E287" s="7" t="n">
        <x:f>ROUND(C287*$B$6/12,2)</x:f>
        <x:v>1103.34</x:v>
      </x:c>
      <x:c r="F287" s="7" t="n">
        <x:f>ROUND(D287-E287,2)</x:f>
        <x:v>2047.83</x:v>
      </x:c>
      <x:c r="G287" s="7" t="n">
        <x:f>ROUND(C287-F287,2)</x:f>
        <x:v>215002.81</x:v>
      </x:c>
      <x:c r="H287" s="7" t="n">
        <x:f>ROUND(D287-E287-F287,2)</x:f>
        <x:v>0</x:v>
      </x:c>
      <x:c r="I287" s="1" t="str">
        <x:v>Projection</x:v>
      </x:c>
    </x:row>
    <x:row r="288" ht="21" customHeight="1">
      <x:c r="A288" s="1" t="n">
        <x:v>277</x:v>
      </x:c>
      <x:c r="B288" s="6" t="n">
        <x:v>54270</x:v>
      </x:c>
      <x:c r="C288" s="7" t="n">
        <x:f>G287</x:f>
        <x:v>215002.81</x:v>
      </x:c>
      <x:c r="D288" s="7" t="n">
        <x:f>IF(A288=$B$7,ROUND(C288+E288,2),MIN($B$8,ROUND(C288+E288,2)))</x:f>
        <x:v>3151.17</x:v>
      </x:c>
      <x:c r="E288" s="7" t="n">
        <x:f>ROUND(C288*$B$6/12,2)</x:f>
        <x:v>1092.93</x:v>
      </x:c>
      <x:c r="F288" s="7" t="n">
        <x:f>ROUND(D288-E288,2)</x:f>
        <x:v>2058.24</x:v>
      </x:c>
      <x:c r="G288" s="7" t="n">
        <x:f>ROUND(C288-F288,2)</x:f>
        <x:v>212944.57</x:v>
      </x:c>
      <x:c r="H288" s="7" t="n">
        <x:f>ROUND(D288-E288-F288,2)</x:f>
        <x:v>0</x:v>
      </x:c>
      <x:c r="I288" s="1" t="str">
        <x:v>Projection</x:v>
      </x:c>
    </x:row>
    <x:row r="289" ht="21" customHeight="1">
      <x:c r="A289" s="1" t="n">
        <x:v>278</x:v>
      </x:c>
      <x:c r="B289" s="6" t="n">
        <x:v>54301</x:v>
      </x:c>
      <x:c r="C289" s="7" t="n">
        <x:f>G288</x:f>
        <x:v>212944.57</x:v>
      </x:c>
      <x:c r="D289" s="7" t="n">
        <x:f>IF(A289=$B$7,ROUND(C289+E289,2),MIN($B$8,ROUND(C289+E289,2)))</x:f>
        <x:v>3151.17</x:v>
      </x:c>
      <x:c r="E289" s="7" t="n">
        <x:f>ROUND(C289*$B$6/12,2)</x:f>
        <x:v>1082.47</x:v>
      </x:c>
      <x:c r="F289" s="7" t="n">
        <x:f>ROUND(D289-E289,2)</x:f>
        <x:v>2068.7</x:v>
      </x:c>
      <x:c r="G289" s="7" t="n">
        <x:f>ROUND(C289-F289,2)</x:f>
        <x:v>210875.87</x:v>
      </x:c>
      <x:c r="H289" s="7" t="n">
        <x:f>ROUND(D289-E289-F289,2)</x:f>
        <x:v>0</x:v>
      </x:c>
      <x:c r="I289" s="1" t="str">
        <x:v>Projection</x:v>
      </x:c>
    </x:row>
    <x:row r="290" ht="21" customHeight="1">
      <x:c r="A290" s="1" t="n">
        <x:v>279</x:v>
      </x:c>
      <x:c r="B290" s="6" t="n">
        <x:v>54331</x:v>
      </x:c>
      <x:c r="C290" s="7" t="n">
        <x:f>G289</x:f>
        <x:v>210875.87</x:v>
      </x:c>
      <x:c r="D290" s="7" t="n">
        <x:f>IF(A290=$B$7,ROUND(C290+E290,2),MIN($B$8,ROUND(C290+E290,2)))</x:f>
        <x:v>3151.17</x:v>
      </x:c>
      <x:c r="E290" s="7" t="n">
        <x:f>ROUND(C290*$B$6/12,2)</x:f>
        <x:v>1071.95</x:v>
      </x:c>
      <x:c r="F290" s="7" t="n">
        <x:f>ROUND(D290-E290,2)</x:f>
        <x:v>2079.22</x:v>
      </x:c>
      <x:c r="G290" s="7" t="n">
        <x:f>ROUND(C290-F290,2)</x:f>
        <x:v>208796.65</x:v>
      </x:c>
      <x:c r="H290" s="7" t="n">
        <x:f>ROUND(D290-E290-F290,2)</x:f>
        <x:v>0</x:v>
      </x:c>
      <x:c r="I290" s="1" t="str">
        <x:v>Projection</x:v>
      </x:c>
    </x:row>
    <x:row r="291" ht="21" customHeight="1">
      <x:c r="A291" s="1" t="n">
        <x:v>280</x:v>
      </x:c>
      <x:c r="B291" s="6" t="n">
        <x:v>54362</x:v>
      </x:c>
      <x:c r="C291" s="7" t="n">
        <x:f>G290</x:f>
        <x:v>208796.65</x:v>
      </x:c>
      <x:c r="D291" s="7" t="n">
        <x:f>IF(A291=$B$7,ROUND(C291+E291,2),MIN($B$8,ROUND(C291+E291,2)))</x:f>
        <x:v>3151.17</x:v>
      </x:c>
      <x:c r="E291" s="7" t="n">
        <x:f>ROUND(C291*$B$6/12,2)</x:f>
        <x:v>1061.38</x:v>
      </x:c>
      <x:c r="F291" s="7" t="n">
        <x:f>ROUND(D291-E291,2)</x:f>
        <x:v>2089.79</x:v>
      </x:c>
      <x:c r="G291" s="7" t="n">
        <x:f>ROUND(C291-F291,2)</x:f>
        <x:v>206706.86</x:v>
      </x:c>
      <x:c r="H291" s="7" t="n">
        <x:f>ROUND(D291-E291-F291,2)</x:f>
        <x:v>0</x:v>
      </x:c>
      <x:c r="I291" s="1" t="str">
        <x:v>Projection</x:v>
      </x:c>
    </x:row>
    <x:row r="292" ht="21" customHeight="1">
      <x:c r="A292" s="1" t="n">
        <x:v>281</x:v>
      </x:c>
      <x:c r="B292" s="6" t="n">
        <x:v>54392</x:v>
      </x:c>
      <x:c r="C292" s="7" t="n">
        <x:f>G291</x:f>
        <x:v>206706.86</x:v>
      </x:c>
      <x:c r="D292" s="7" t="n">
        <x:f>IF(A292=$B$7,ROUND(C292+E292,2),MIN($B$8,ROUND(C292+E292,2)))</x:f>
        <x:v>3151.17</x:v>
      </x:c>
      <x:c r="E292" s="7" t="n">
        <x:f>ROUND(C292*$B$6/12,2)</x:f>
        <x:v>1050.76</x:v>
      </x:c>
      <x:c r="F292" s="7" t="n">
        <x:f>ROUND(D292-E292,2)</x:f>
        <x:v>2100.41</x:v>
      </x:c>
      <x:c r="G292" s="7" t="n">
        <x:f>ROUND(C292-F292,2)</x:f>
        <x:v>204606.45</x:v>
      </x:c>
      <x:c r="H292" s="7" t="n">
        <x:f>ROUND(D292-E292-F292,2)</x:f>
        <x:v>0</x:v>
      </x:c>
      <x:c r="I292" s="1" t="str">
        <x:v>Projection</x:v>
      </x:c>
    </x:row>
    <x:row r="293" ht="21" customHeight="1">
      <x:c r="A293" s="1" t="n">
        <x:v>282</x:v>
      </x:c>
      <x:c r="B293" s="6" t="n">
        <x:v>54423</x:v>
      </x:c>
      <x:c r="C293" s="7" t="n">
        <x:f>G292</x:f>
        <x:v>204606.45</x:v>
      </x:c>
      <x:c r="D293" s="7" t="n">
        <x:f>IF(A293=$B$7,ROUND(C293+E293,2),MIN($B$8,ROUND(C293+E293,2)))</x:f>
        <x:v>3151.17</x:v>
      </x:c>
      <x:c r="E293" s="7" t="n">
        <x:f>ROUND(C293*$B$6/12,2)</x:f>
        <x:v>1040.08</x:v>
      </x:c>
      <x:c r="F293" s="7" t="n">
        <x:f>ROUND(D293-E293,2)</x:f>
        <x:v>2111.09</x:v>
      </x:c>
      <x:c r="G293" s="7" t="n">
        <x:f>ROUND(C293-F293,2)</x:f>
        <x:v>202495.36</x:v>
      </x:c>
      <x:c r="H293" s="7" t="n">
        <x:f>ROUND(D293-E293-F293,2)</x:f>
        <x:v>0</x:v>
      </x:c>
      <x:c r="I293" s="1" t="str">
        <x:v>Projection</x:v>
      </x:c>
    </x:row>
    <x:row r="294" ht="21" customHeight="1">
      <x:c r="A294" s="1" t="n">
        <x:v>283</x:v>
      </x:c>
      <x:c r="B294" s="6" t="n">
        <x:v>54454</x:v>
      </x:c>
      <x:c r="C294" s="7" t="n">
        <x:f>G293</x:f>
        <x:v>202495.36</x:v>
      </x:c>
      <x:c r="D294" s="7" t="n">
        <x:f>IF(A294=$B$7,ROUND(C294+E294,2),MIN($B$8,ROUND(C294+E294,2)))</x:f>
        <x:v>3151.17</x:v>
      </x:c>
      <x:c r="E294" s="7" t="n">
        <x:f>ROUND(C294*$B$6/12,2)</x:f>
        <x:v>1029.35</x:v>
      </x:c>
      <x:c r="F294" s="7" t="n">
        <x:f>ROUND(D294-E294,2)</x:f>
        <x:v>2121.82</x:v>
      </x:c>
      <x:c r="G294" s="7" t="n">
        <x:f>ROUND(C294-F294,2)</x:f>
        <x:v>200373.54</x:v>
      </x:c>
      <x:c r="H294" s="7" t="n">
        <x:f>ROUND(D294-E294-F294,2)</x:f>
        <x:v>0</x:v>
      </x:c>
      <x:c r="I294" s="1" t="str">
        <x:v>Projection</x:v>
      </x:c>
    </x:row>
    <x:row r="295" ht="21" customHeight="1">
      <x:c r="A295" s="1" t="n">
        <x:v>284</x:v>
      </x:c>
      <x:c r="B295" s="6" t="n">
        <x:v>54482</x:v>
      </x:c>
      <x:c r="C295" s="7" t="n">
        <x:f>G294</x:f>
        <x:v>200373.54</x:v>
      </x:c>
      <x:c r="D295" s="7" t="n">
        <x:f>IF(A295=$B$7,ROUND(C295+E295,2),MIN($B$8,ROUND(C295+E295,2)))</x:f>
        <x:v>3151.17</x:v>
      </x:c>
      <x:c r="E295" s="7" t="n">
        <x:f>ROUND(C295*$B$6/12,2)</x:f>
        <x:v>1018.57</x:v>
      </x:c>
      <x:c r="F295" s="7" t="n">
        <x:f>ROUND(D295-E295,2)</x:f>
        <x:v>2132.6</x:v>
      </x:c>
      <x:c r="G295" s="7" t="n">
        <x:f>ROUND(C295-F295,2)</x:f>
        <x:v>198240.94</x:v>
      </x:c>
      <x:c r="H295" s="7" t="n">
        <x:f>ROUND(D295-E295-F295,2)</x:f>
        <x:v>0</x:v>
      </x:c>
      <x:c r="I295" s="1" t="str">
        <x:v>Projection</x:v>
      </x:c>
    </x:row>
    <x:row r="296" ht="21" customHeight="1">
      <x:c r="A296" s="1" t="n">
        <x:v>285</x:v>
      </x:c>
      <x:c r="B296" s="6" t="n">
        <x:v>54513</x:v>
      </x:c>
      <x:c r="C296" s="7" t="n">
        <x:f>G295</x:f>
        <x:v>198240.94</x:v>
      </x:c>
      <x:c r="D296" s="7" t="n">
        <x:f>IF(A296=$B$7,ROUND(C296+E296,2),MIN($B$8,ROUND(C296+E296,2)))</x:f>
        <x:v>3151.17</x:v>
      </x:c>
      <x:c r="E296" s="7" t="n">
        <x:f>ROUND(C296*$B$6/12,2)</x:f>
        <x:v>1007.72</x:v>
      </x:c>
      <x:c r="F296" s="7" t="n">
        <x:f>ROUND(D296-E296,2)</x:f>
        <x:v>2143.45</x:v>
      </x:c>
      <x:c r="G296" s="7" t="n">
        <x:f>ROUND(C296-F296,2)</x:f>
        <x:v>196097.49</x:v>
      </x:c>
      <x:c r="H296" s="7" t="n">
        <x:f>ROUND(D296-E296-F296,2)</x:f>
        <x:v>0</x:v>
      </x:c>
      <x:c r="I296" s="1" t="str">
        <x:v>Projection</x:v>
      </x:c>
    </x:row>
    <x:row r="297" ht="21" customHeight="1">
      <x:c r="A297" s="1" t="n">
        <x:v>286</x:v>
      </x:c>
      <x:c r="B297" s="6" t="n">
        <x:v>54543</x:v>
      </x:c>
      <x:c r="C297" s="7" t="n">
        <x:f>G296</x:f>
        <x:v>196097.49</x:v>
      </x:c>
      <x:c r="D297" s="7" t="n">
        <x:f>IF(A297=$B$7,ROUND(C297+E297,2),MIN($B$8,ROUND(C297+E297,2)))</x:f>
        <x:v>3151.17</x:v>
      </x:c>
      <x:c r="E297" s="7" t="n">
        <x:f>ROUND(C297*$B$6/12,2)</x:f>
        <x:v>996.83</x:v>
      </x:c>
      <x:c r="F297" s="7" t="n">
        <x:f>ROUND(D297-E297,2)</x:f>
        <x:v>2154.34</x:v>
      </x:c>
      <x:c r="G297" s="7" t="n">
        <x:f>ROUND(C297-F297,2)</x:f>
        <x:v>193943.15</x:v>
      </x:c>
      <x:c r="H297" s="7" t="n">
        <x:f>ROUND(D297-E297-F297,2)</x:f>
        <x:v>0</x:v>
      </x:c>
      <x:c r="I297" s="1" t="str">
        <x:v>Projection</x:v>
      </x:c>
    </x:row>
    <x:row r="298" ht="21" customHeight="1">
      <x:c r="A298" s="1" t="n">
        <x:v>287</x:v>
      </x:c>
      <x:c r="B298" s="6" t="n">
        <x:v>54574</x:v>
      </x:c>
      <x:c r="C298" s="7" t="n">
        <x:f>G297</x:f>
        <x:v>193943.15</x:v>
      </x:c>
      <x:c r="D298" s="7" t="n">
        <x:f>IF(A298=$B$7,ROUND(C298+E298,2),MIN($B$8,ROUND(C298+E298,2)))</x:f>
        <x:v>3151.17</x:v>
      </x:c>
      <x:c r="E298" s="7" t="n">
        <x:f>ROUND(C298*$B$6/12,2)</x:f>
        <x:v>985.88</x:v>
      </x:c>
      <x:c r="F298" s="7" t="n">
        <x:f>ROUND(D298-E298,2)</x:f>
        <x:v>2165.29</x:v>
      </x:c>
      <x:c r="G298" s="7" t="n">
        <x:f>ROUND(C298-F298,2)</x:f>
        <x:v>191777.86</x:v>
      </x:c>
      <x:c r="H298" s="7" t="n">
        <x:f>ROUND(D298-E298-F298,2)</x:f>
        <x:v>0</x:v>
      </x:c>
      <x:c r="I298" s="1" t="str">
        <x:v>Projection</x:v>
      </x:c>
    </x:row>
    <x:row r="299" ht="21" customHeight="1">
      <x:c r="A299" s="1" t="n">
        <x:v>288</x:v>
      </x:c>
      <x:c r="B299" s="6" t="n">
        <x:v>54604</x:v>
      </x:c>
      <x:c r="C299" s="7" t="n">
        <x:f>G298</x:f>
        <x:v>191777.86</x:v>
      </x:c>
      <x:c r="D299" s="7" t="n">
        <x:f>IF(A299=$B$7,ROUND(C299+E299,2),MIN($B$8,ROUND(C299+E299,2)))</x:f>
        <x:v>3151.17</x:v>
      </x:c>
      <x:c r="E299" s="7" t="n">
        <x:f>ROUND(C299*$B$6/12,2)</x:f>
        <x:v>974.87</x:v>
      </x:c>
      <x:c r="F299" s="7" t="n">
        <x:f>ROUND(D299-E299,2)</x:f>
        <x:v>2176.3</x:v>
      </x:c>
      <x:c r="G299" s="7" t="n">
        <x:f>ROUND(C299-F299,2)</x:f>
        <x:v>189601.56</x:v>
      </x:c>
      <x:c r="H299" s="7" t="n">
        <x:f>ROUND(D299-E299-F299,2)</x:f>
        <x:v>0</x:v>
      </x:c>
      <x:c r="I299" s="1" t="str">
        <x:v>Projection</x:v>
      </x:c>
    </x:row>
    <x:row r="300" ht="21" customHeight="1">
      <x:c r="A300" s="1" t="n">
        <x:v>289</x:v>
      </x:c>
      <x:c r="B300" s="6" t="n">
        <x:v>54635</x:v>
      </x:c>
      <x:c r="C300" s="7" t="n">
        <x:f>G299</x:f>
        <x:v>189601.56</x:v>
      </x:c>
      <x:c r="D300" s="7" t="n">
        <x:f>IF(A300=$B$7,ROUND(C300+E300,2),MIN($B$8,ROUND(C300+E300,2)))</x:f>
        <x:v>3151.17</x:v>
      </x:c>
      <x:c r="E300" s="7" t="n">
        <x:f>ROUND(C300*$B$6/12,2)</x:f>
        <x:v>963.81</x:v>
      </x:c>
      <x:c r="F300" s="7" t="n">
        <x:f>ROUND(D300-E300,2)</x:f>
        <x:v>2187.36</x:v>
      </x:c>
      <x:c r="G300" s="7" t="n">
        <x:f>ROUND(C300-F300,2)</x:f>
        <x:v>187414.2</x:v>
      </x:c>
      <x:c r="H300" s="7" t="n">
        <x:f>ROUND(D300-E300-F300,2)</x:f>
        <x:v>0</x:v>
      </x:c>
      <x:c r="I300" s="1" t="str">
        <x:v>Projection</x:v>
      </x:c>
    </x:row>
    <x:row r="301" ht="21" customHeight="1">
      <x:c r="A301" s="1" t="n">
        <x:v>290</x:v>
      </x:c>
      <x:c r="B301" s="6" t="n">
        <x:v>54666</x:v>
      </x:c>
      <x:c r="C301" s="7" t="n">
        <x:f>G300</x:f>
        <x:v>187414.2</x:v>
      </x:c>
      <x:c r="D301" s="7" t="n">
        <x:f>IF(A301=$B$7,ROUND(C301+E301,2),MIN($B$8,ROUND(C301+E301,2)))</x:f>
        <x:v>3151.17</x:v>
      </x:c>
      <x:c r="E301" s="7" t="n">
        <x:f>ROUND(C301*$B$6/12,2)</x:f>
        <x:v>952.69</x:v>
      </x:c>
      <x:c r="F301" s="7" t="n">
        <x:f>ROUND(D301-E301,2)</x:f>
        <x:v>2198.48</x:v>
      </x:c>
      <x:c r="G301" s="7" t="n">
        <x:f>ROUND(C301-F301,2)</x:f>
        <x:v>185215.72</x:v>
      </x:c>
      <x:c r="H301" s="7" t="n">
        <x:f>ROUND(D301-E301-F301,2)</x:f>
        <x:v>0</x:v>
      </x:c>
      <x:c r="I301" s="1" t="str">
        <x:v>Projection</x:v>
      </x:c>
    </x:row>
    <x:row r="302" ht="21" customHeight="1">
      <x:c r="A302" s="1" t="n">
        <x:v>291</x:v>
      </x:c>
      <x:c r="B302" s="6" t="n">
        <x:v>54696</x:v>
      </x:c>
      <x:c r="C302" s="7" t="n">
        <x:f>G301</x:f>
        <x:v>185215.72</x:v>
      </x:c>
      <x:c r="D302" s="7" t="n">
        <x:f>IF(A302=$B$7,ROUND(C302+E302,2),MIN($B$8,ROUND(C302+E302,2)))</x:f>
        <x:v>3151.17</x:v>
      </x:c>
      <x:c r="E302" s="7" t="n">
        <x:f>ROUND(C302*$B$6/12,2)</x:f>
        <x:v>941.51</x:v>
      </x:c>
      <x:c r="F302" s="7" t="n">
        <x:f>ROUND(D302-E302,2)</x:f>
        <x:v>2209.66</x:v>
      </x:c>
      <x:c r="G302" s="7" t="n">
        <x:f>ROUND(C302-F302,2)</x:f>
        <x:v>183006.06</x:v>
      </x:c>
      <x:c r="H302" s="7" t="n">
        <x:f>ROUND(D302-E302-F302,2)</x:f>
        <x:v>0</x:v>
      </x:c>
      <x:c r="I302" s="1" t="str">
        <x:v>Projection</x:v>
      </x:c>
    </x:row>
    <x:row r="303" ht="21" customHeight="1">
      <x:c r="A303" s="1" t="n">
        <x:v>292</x:v>
      </x:c>
      <x:c r="B303" s="6" t="n">
        <x:v>54727</x:v>
      </x:c>
      <x:c r="C303" s="7" t="n">
        <x:f>G302</x:f>
        <x:v>183006.06</x:v>
      </x:c>
      <x:c r="D303" s="7" t="n">
        <x:f>IF(A303=$B$7,ROUND(C303+E303,2),MIN($B$8,ROUND(C303+E303,2)))</x:f>
        <x:v>3151.17</x:v>
      </x:c>
      <x:c r="E303" s="7" t="n">
        <x:f>ROUND(C303*$B$6/12,2)</x:f>
        <x:v>930.28</x:v>
      </x:c>
      <x:c r="F303" s="7" t="n">
        <x:f>ROUND(D303-E303,2)</x:f>
        <x:v>2220.89</x:v>
      </x:c>
      <x:c r="G303" s="7" t="n">
        <x:f>ROUND(C303-F303,2)</x:f>
        <x:v>180785.17</x:v>
      </x:c>
      <x:c r="H303" s="7" t="n">
        <x:f>ROUND(D303-E303-F303,2)</x:f>
        <x:v>0</x:v>
      </x:c>
      <x:c r="I303" s="1" t="str">
        <x:v>Projection</x:v>
      </x:c>
    </x:row>
    <x:row r="304" ht="21" customHeight="1">
      <x:c r="A304" s="1" t="n">
        <x:v>293</x:v>
      </x:c>
      <x:c r="B304" s="6" t="n">
        <x:v>54757</x:v>
      </x:c>
      <x:c r="C304" s="7" t="n">
        <x:f>G303</x:f>
        <x:v>180785.17</x:v>
      </x:c>
      <x:c r="D304" s="7" t="n">
        <x:f>IF(A304=$B$7,ROUND(C304+E304,2),MIN($B$8,ROUND(C304+E304,2)))</x:f>
        <x:v>3151.17</x:v>
      </x:c>
      <x:c r="E304" s="7" t="n">
        <x:f>ROUND(C304*$B$6/12,2)</x:f>
        <x:v>918.99</x:v>
      </x:c>
      <x:c r="F304" s="7" t="n">
        <x:f>ROUND(D304-E304,2)</x:f>
        <x:v>2232.18</x:v>
      </x:c>
      <x:c r="G304" s="7" t="n">
        <x:f>ROUND(C304-F304,2)</x:f>
        <x:v>178552.99</x:v>
      </x:c>
      <x:c r="H304" s="7" t="n">
        <x:f>ROUND(D304-E304-F304,2)</x:f>
        <x:v>0</x:v>
      </x:c>
      <x:c r="I304" s="1" t="str">
        <x:v>Projection</x:v>
      </x:c>
    </x:row>
    <x:row r="305" ht="21" customHeight="1">
      <x:c r="A305" s="1" t="n">
        <x:v>294</x:v>
      </x:c>
      <x:c r="B305" s="6" t="n">
        <x:v>54788</x:v>
      </x:c>
      <x:c r="C305" s="7" t="n">
        <x:f>G304</x:f>
        <x:v>178552.99</x:v>
      </x:c>
      <x:c r="D305" s="7" t="n">
        <x:f>IF(A305=$B$7,ROUND(C305+E305,2),MIN($B$8,ROUND(C305+E305,2)))</x:f>
        <x:v>3151.17</x:v>
      </x:c>
      <x:c r="E305" s="7" t="n">
        <x:f>ROUND(C305*$B$6/12,2)</x:f>
        <x:v>907.64</x:v>
      </x:c>
      <x:c r="F305" s="7" t="n">
        <x:f>ROUND(D305-E305,2)</x:f>
        <x:v>2243.53</x:v>
      </x:c>
      <x:c r="G305" s="7" t="n">
        <x:f>ROUND(C305-F305,2)</x:f>
        <x:v>176309.46</x:v>
      </x:c>
      <x:c r="H305" s="7" t="n">
        <x:f>ROUND(D305-E305-F305,2)</x:f>
        <x:v>0</x:v>
      </x:c>
      <x:c r="I305" s="1" t="str">
        <x:v>Projection</x:v>
      </x:c>
    </x:row>
    <x:row r="306" ht="21" customHeight="1">
      <x:c r="A306" s="1" t="n">
        <x:v>295</x:v>
      </x:c>
      <x:c r="B306" s="6" t="n">
        <x:v>54819</x:v>
      </x:c>
      <x:c r="C306" s="7" t="n">
        <x:f>G305</x:f>
        <x:v>176309.46</x:v>
      </x:c>
      <x:c r="D306" s="7" t="n">
        <x:f>IF(A306=$B$7,ROUND(C306+E306,2),MIN($B$8,ROUND(C306+E306,2)))</x:f>
        <x:v>3151.17</x:v>
      </x:c>
      <x:c r="E306" s="7" t="n">
        <x:f>ROUND(C306*$B$6/12,2)</x:f>
        <x:v>896.24</x:v>
      </x:c>
      <x:c r="F306" s="7" t="n">
        <x:f>ROUND(D306-E306,2)</x:f>
        <x:v>2254.93</x:v>
      </x:c>
      <x:c r="G306" s="7" t="n">
        <x:f>ROUND(C306-F306,2)</x:f>
        <x:v>174054.53</x:v>
      </x:c>
      <x:c r="H306" s="7" t="n">
        <x:f>ROUND(D306-E306-F306,2)</x:f>
        <x:v>0</x:v>
      </x:c>
      <x:c r="I306" s="1" t="str">
        <x:v>Projection</x:v>
      </x:c>
    </x:row>
    <x:row r="307" ht="21" customHeight="1">
      <x:c r="A307" s="1" t="n">
        <x:v>296</x:v>
      </x:c>
      <x:c r="B307" s="6" t="n">
        <x:v>54847</x:v>
      </x:c>
      <x:c r="C307" s="7" t="n">
        <x:f>G306</x:f>
        <x:v>174054.53</x:v>
      </x:c>
      <x:c r="D307" s="7" t="n">
        <x:f>IF(A307=$B$7,ROUND(C307+E307,2),MIN($B$8,ROUND(C307+E307,2)))</x:f>
        <x:v>3151.17</x:v>
      </x:c>
      <x:c r="E307" s="7" t="n">
        <x:f>ROUND(C307*$B$6/12,2)</x:f>
        <x:v>884.78</x:v>
      </x:c>
      <x:c r="F307" s="7" t="n">
        <x:f>ROUND(D307-E307,2)</x:f>
        <x:v>2266.39</x:v>
      </x:c>
      <x:c r="G307" s="7" t="n">
        <x:f>ROUND(C307-F307,2)</x:f>
        <x:v>171788.14</x:v>
      </x:c>
      <x:c r="H307" s="7" t="n">
        <x:f>ROUND(D307-E307-F307,2)</x:f>
        <x:v>0</x:v>
      </x:c>
      <x:c r="I307" s="1" t="str">
        <x:v>Projection</x:v>
      </x:c>
    </x:row>
    <x:row r="308" ht="21" customHeight="1">
      <x:c r="A308" s="1" t="n">
        <x:v>297</x:v>
      </x:c>
      <x:c r="B308" s="6" t="n">
        <x:v>54878</x:v>
      </x:c>
      <x:c r="C308" s="7" t="n">
        <x:f>G307</x:f>
        <x:v>171788.14</x:v>
      </x:c>
      <x:c r="D308" s="7" t="n">
        <x:f>IF(A308=$B$7,ROUND(C308+E308,2),MIN($B$8,ROUND(C308+E308,2)))</x:f>
        <x:v>3151.17</x:v>
      </x:c>
      <x:c r="E308" s="7" t="n">
        <x:f>ROUND(C308*$B$6/12,2)</x:f>
        <x:v>873.26</x:v>
      </x:c>
      <x:c r="F308" s="7" t="n">
        <x:f>ROUND(D308-E308,2)</x:f>
        <x:v>2277.91</x:v>
      </x:c>
      <x:c r="G308" s="7" t="n">
        <x:f>ROUND(C308-F308,2)</x:f>
        <x:v>169510.23</x:v>
      </x:c>
      <x:c r="H308" s="7" t="n">
        <x:f>ROUND(D308-E308-F308,2)</x:f>
        <x:v>0</x:v>
      </x:c>
      <x:c r="I308" s="1" t="str">
        <x:v>Projection</x:v>
      </x:c>
    </x:row>
    <x:row r="309" ht="21" customHeight="1">
      <x:c r="A309" s="1" t="n">
        <x:v>298</x:v>
      </x:c>
      <x:c r="B309" s="6" t="n">
        <x:v>54908</x:v>
      </x:c>
      <x:c r="C309" s="7" t="n">
        <x:f>G308</x:f>
        <x:v>169510.23</x:v>
      </x:c>
      <x:c r="D309" s="7" t="n">
        <x:f>IF(A309=$B$7,ROUND(C309+E309,2),MIN($B$8,ROUND(C309+E309,2)))</x:f>
        <x:v>3151.17</x:v>
      </x:c>
      <x:c r="E309" s="7" t="n">
        <x:f>ROUND(C309*$B$6/12,2)</x:f>
        <x:v>861.68</x:v>
      </x:c>
      <x:c r="F309" s="7" t="n">
        <x:f>ROUND(D309-E309,2)</x:f>
        <x:v>2289.49</x:v>
      </x:c>
      <x:c r="G309" s="7" t="n">
        <x:f>ROUND(C309-F309,2)</x:f>
        <x:v>167220.74</x:v>
      </x:c>
      <x:c r="H309" s="7" t="n">
        <x:f>ROUND(D309-E309-F309,2)</x:f>
        <x:v>0</x:v>
      </x:c>
      <x:c r="I309" s="1" t="str">
        <x:v>Projection</x:v>
      </x:c>
    </x:row>
    <x:row r="310" ht="21" customHeight="1">
      <x:c r="A310" s="1" t="n">
        <x:v>299</x:v>
      </x:c>
      <x:c r="B310" s="6" t="n">
        <x:v>54939</x:v>
      </x:c>
      <x:c r="C310" s="7" t="n">
        <x:f>G309</x:f>
        <x:v>167220.74</x:v>
      </x:c>
      <x:c r="D310" s="7" t="n">
        <x:f>IF(A310=$B$7,ROUND(C310+E310,2),MIN($B$8,ROUND(C310+E310,2)))</x:f>
        <x:v>3151.17</x:v>
      </x:c>
      <x:c r="E310" s="7" t="n">
        <x:f>ROUND(C310*$B$6/12,2)</x:f>
        <x:v>850.04</x:v>
      </x:c>
      <x:c r="F310" s="7" t="n">
        <x:f>ROUND(D310-E310,2)</x:f>
        <x:v>2301.13</x:v>
      </x:c>
      <x:c r="G310" s="7" t="n">
        <x:f>ROUND(C310-F310,2)</x:f>
        <x:v>164919.61</x:v>
      </x:c>
      <x:c r="H310" s="7" t="n">
        <x:f>ROUND(D310-E310-F310,2)</x:f>
        <x:v>0</x:v>
      </x:c>
      <x:c r="I310" s="1" t="str">
        <x:v>Projection</x:v>
      </x:c>
    </x:row>
    <x:row r="311" ht="21" customHeight="1">
      <x:c r="A311" s="1" t="n">
        <x:v>300</x:v>
      </x:c>
      <x:c r="B311" s="6" t="n">
        <x:v>54969</x:v>
      </x:c>
      <x:c r="C311" s="7" t="n">
        <x:f>G310</x:f>
        <x:v>164919.61</x:v>
      </x:c>
      <x:c r="D311" s="7" t="n">
        <x:f>IF(A311=$B$7,ROUND(C311+E311,2),MIN($B$8,ROUND(C311+E311,2)))</x:f>
        <x:v>3151.17</x:v>
      </x:c>
      <x:c r="E311" s="7" t="n">
        <x:f>ROUND(C311*$B$6/12,2)</x:f>
        <x:v>838.34</x:v>
      </x:c>
      <x:c r="F311" s="7" t="n">
        <x:f>ROUND(D311-E311,2)</x:f>
        <x:v>2312.83</x:v>
      </x:c>
      <x:c r="G311" s="7" t="n">
        <x:f>ROUND(C311-F311,2)</x:f>
        <x:v>162606.78</x:v>
      </x:c>
      <x:c r="H311" s="7" t="n">
        <x:f>ROUND(D311-E311-F311,2)</x:f>
        <x:v>0</x:v>
      </x:c>
      <x:c r="I311" s="1" t="str">
        <x:v>Projection</x:v>
      </x:c>
    </x:row>
    <x:row r="312" ht="21" customHeight="1">
      <x:c r="A312" s="1" t="n">
        <x:v>301</x:v>
      </x:c>
      <x:c r="B312" s="6" t="n">
        <x:v>55000</x:v>
      </x:c>
      <x:c r="C312" s="7" t="n">
        <x:f>G311</x:f>
        <x:v>162606.78</x:v>
      </x:c>
      <x:c r="D312" s="7" t="n">
        <x:f>IF(A312=$B$7,ROUND(C312+E312,2),MIN($B$8,ROUND(C312+E312,2)))</x:f>
        <x:v>3151.17</x:v>
      </x:c>
      <x:c r="E312" s="7" t="n">
        <x:f>ROUND(C312*$B$6/12,2)</x:f>
        <x:v>826.58</x:v>
      </x:c>
      <x:c r="F312" s="7" t="n">
        <x:f>ROUND(D312-E312,2)</x:f>
        <x:v>2324.59</x:v>
      </x:c>
      <x:c r="G312" s="7" t="n">
        <x:f>ROUND(C312-F312,2)</x:f>
        <x:v>160282.19</x:v>
      </x:c>
      <x:c r="H312" s="7" t="n">
        <x:f>ROUND(D312-E312-F312,2)</x:f>
        <x:v>0</x:v>
      </x:c>
      <x:c r="I312" s="1" t="str">
        <x:v>Projection</x:v>
      </x:c>
    </x:row>
    <x:row r="313" ht="21" customHeight="1">
      <x:c r="A313" s="1" t="n">
        <x:v>302</x:v>
      </x:c>
      <x:c r="B313" s="6" t="n">
        <x:v>55031</x:v>
      </x:c>
      <x:c r="C313" s="7" t="n">
        <x:f>G312</x:f>
        <x:v>160282.19</x:v>
      </x:c>
      <x:c r="D313" s="7" t="n">
        <x:f>IF(A313=$B$7,ROUND(C313+E313,2),MIN($B$8,ROUND(C313+E313,2)))</x:f>
        <x:v>3151.17</x:v>
      </x:c>
      <x:c r="E313" s="7" t="n">
        <x:f>ROUND(C313*$B$6/12,2)</x:f>
        <x:v>814.77</x:v>
      </x:c>
      <x:c r="F313" s="7" t="n">
        <x:f>ROUND(D313-E313,2)</x:f>
        <x:v>2336.4</x:v>
      </x:c>
      <x:c r="G313" s="7" t="n">
        <x:f>ROUND(C313-F313,2)</x:f>
        <x:v>157945.79</x:v>
      </x:c>
      <x:c r="H313" s="7" t="n">
        <x:f>ROUND(D313-E313-F313,2)</x:f>
        <x:v>0</x:v>
      </x:c>
      <x:c r="I313" s="1" t="str">
        <x:v>Projection</x:v>
      </x:c>
    </x:row>
    <x:row r="314" ht="21" customHeight="1">
      <x:c r="A314" s="1" t="n">
        <x:v>303</x:v>
      </x:c>
      <x:c r="B314" s="6" t="n">
        <x:v>55061</x:v>
      </x:c>
      <x:c r="C314" s="7" t="n">
        <x:f>G313</x:f>
        <x:v>157945.79</x:v>
      </x:c>
      <x:c r="D314" s="7" t="n">
        <x:f>IF(A314=$B$7,ROUND(C314+E314,2),MIN($B$8,ROUND(C314+E314,2)))</x:f>
        <x:v>3151.17</x:v>
      </x:c>
      <x:c r="E314" s="7" t="n">
        <x:f>ROUND(C314*$B$6/12,2)</x:f>
        <x:v>802.89</x:v>
      </x:c>
      <x:c r="F314" s="7" t="n">
        <x:f>ROUND(D314-E314,2)</x:f>
        <x:v>2348.28</x:v>
      </x:c>
      <x:c r="G314" s="7" t="n">
        <x:f>ROUND(C314-F314,2)</x:f>
        <x:v>155597.51</x:v>
      </x:c>
      <x:c r="H314" s="7" t="n">
        <x:f>ROUND(D314-E314-F314,2)</x:f>
        <x:v>0</x:v>
      </x:c>
      <x:c r="I314" s="1" t="str">
        <x:v>Projection</x:v>
      </x:c>
    </x:row>
    <x:row r="315" ht="21" customHeight="1">
      <x:c r="A315" s="1" t="n">
        <x:v>304</x:v>
      </x:c>
      <x:c r="B315" s="6" t="n">
        <x:v>55092</x:v>
      </x:c>
      <x:c r="C315" s="7" t="n">
        <x:f>G314</x:f>
        <x:v>155597.51</x:v>
      </x:c>
      <x:c r="D315" s="7" t="n">
        <x:f>IF(A315=$B$7,ROUND(C315+E315,2),MIN($B$8,ROUND(C315+E315,2)))</x:f>
        <x:v>3151.17</x:v>
      </x:c>
      <x:c r="E315" s="7" t="n">
        <x:f>ROUND(C315*$B$6/12,2)</x:f>
        <x:v>790.95</x:v>
      </x:c>
      <x:c r="F315" s="7" t="n">
        <x:f>ROUND(D315-E315,2)</x:f>
        <x:v>2360.22</x:v>
      </x:c>
      <x:c r="G315" s="7" t="n">
        <x:f>ROUND(C315-F315,2)</x:f>
        <x:v>153237.29</x:v>
      </x:c>
      <x:c r="H315" s="7" t="n">
        <x:f>ROUND(D315-E315-F315,2)</x:f>
        <x:v>0</x:v>
      </x:c>
      <x:c r="I315" s="1" t="str">
        <x:v>Projection</x:v>
      </x:c>
    </x:row>
    <x:row r="316" ht="21" customHeight="1">
      <x:c r="A316" s="1" t="n">
        <x:v>305</x:v>
      </x:c>
      <x:c r="B316" s="6" t="n">
        <x:v>55122</x:v>
      </x:c>
      <x:c r="C316" s="7" t="n">
        <x:f>G315</x:f>
        <x:v>153237.29</x:v>
      </x:c>
      <x:c r="D316" s="7" t="n">
        <x:f>IF(A316=$B$7,ROUND(C316+E316,2),MIN($B$8,ROUND(C316+E316,2)))</x:f>
        <x:v>3151.17</x:v>
      </x:c>
      <x:c r="E316" s="7" t="n">
        <x:f>ROUND(C316*$B$6/12,2)</x:f>
        <x:v>778.96</x:v>
      </x:c>
      <x:c r="F316" s="7" t="n">
        <x:f>ROUND(D316-E316,2)</x:f>
        <x:v>2372.21</x:v>
      </x:c>
      <x:c r="G316" s="7" t="n">
        <x:f>ROUND(C316-F316,2)</x:f>
        <x:v>150865.08</x:v>
      </x:c>
      <x:c r="H316" s="7" t="n">
        <x:f>ROUND(D316-E316-F316,2)</x:f>
        <x:v>0</x:v>
      </x:c>
      <x:c r="I316" s="1" t="str">
        <x:v>Projection</x:v>
      </x:c>
    </x:row>
    <x:row r="317" ht="21" customHeight="1">
      <x:c r="A317" s="1" t="n">
        <x:v>306</x:v>
      </x:c>
      <x:c r="B317" s="6" t="n">
        <x:v>55153</x:v>
      </x:c>
      <x:c r="C317" s="7" t="n">
        <x:f>G316</x:f>
        <x:v>150865.08</x:v>
      </x:c>
      <x:c r="D317" s="7" t="n">
        <x:f>IF(A317=$B$7,ROUND(C317+E317,2),MIN($B$8,ROUND(C317+E317,2)))</x:f>
        <x:v>3151.17</x:v>
      </x:c>
      <x:c r="E317" s="7" t="n">
        <x:f>ROUND(C317*$B$6/12,2)</x:f>
        <x:v>766.9</x:v>
      </x:c>
      <x:c r="F317" s="7" t="n">
        <x:f>ROUND(D317-E317,2)</x:f>
        <x:v>2384.27</x:v>
      </x:c>
      <x:c r="G317" s="7" t="n">
        <x:f>ROUND(C317-F317,2)</x:f>
        <x:v>148480.81</x:v>
      </x:c>
      <x:c r="H317" s="7" t="n">
        <x:f>ROUND(D317-E317-F317,2)</x:f>
        <x:v>0</x:v>
      </x:c>
      <x:c r="I317" s="1" t="str">
        <x:v>Projection</x:v>
      </x:c>
    </x:row>
    <x:row r="318" ht="21" customHeight="1">
      <x:c r="A318" s="1" t="n">
        <x:v>307</x:v>
      </x:c>
      <x:c r="B318" s="6" t="n">
        <x:v>55184</x:v>
      </x:c>
      <x:c r="C318" s="7" t="n">
        <x:f>G317</x:f>
        <x:v>148480.81</x:v>
      </x:c>
      <x:c r="D318" s="7" t="n">
        <x:f>IF(A318=$B$7,ROUND(C318+E318,2),MIN($B$8,ROUND(C318+E318,2)))</x:f>
        <x:v>3151.17</x:v>
      </x:c>
      <x:c r="E318" s="7" t="n">
        <x:f>ROUND(C318*$B$6/12,2)</x:f>
        <x:v>754.78</x:v>
      </x:c>
      <x:c r="F318" s="7" t="n">
        <x:f>ROUND(D318-E318,2)</x:f>
        <x:v>2396.39</x:v>
      </x:c>
      <x:c r="G318" s="7" t="n">
        <x:f>ROUND(C318-F318,2)</x:f>
        <x:v>146084.42</x:v>
      </x:c>
      <x:c r="H318" s="7" t="n">
        <x:f>ROUND(D318-E318-F318,2)</x:f>
        <x:v>0</x:v>
      </x:c>
      <x:c r="I318" s="1" t="str">
        <x:v>Projection</x:v>
      </x:c>
    </x:row>
    <x:row r="319" ht="21" customHeight="1">
      <x:c r="A319" s="1" t="n">
        <x:v>308</x:v>
      </x:c>
      <x:c r="B319" s="6" t="n">
        <x:v>55212</x:v>
      </x:c>
      <x:c r="C319" s="7" t="n">
        <x:f>G318</x:f>
        <x:v>146084.42</x:v>
      </x:c>
      <x:c r="D319" s="7" t="n">
        <x:f>IF(A319=$B$7,ROUND(C319+E319,2),MIN($B$8,ROUND(C319+E319,2)))</x:f>
        <x:v>3151.17</x:v>
      </x:c>
      <x:c r="E319" s="7" t="n">
        <x:f>ROUND(C319*$B$6/12,2)</x:f>
        <x:v>742.6</x:v>
      </x:c>
      <x:c r="F319" s="7" t="n">
        <x:f>ROUND(D319-E319,2)</x:f>
        <x:v>2408.57</x:v>
      </x:c>
      <x:c r="G319" s="7" t="n">
        <x:f>ROUND(C319-F319,2)</x:f>
        <x:v>143675.85</x:v>
      </x:c>
      <x:c r="H319" s="7" t="n">
        <x:f>ROUND(D319-E319-F319,2)</x:f>
        <x:v>0</x:v>
      </x:c>
      <x:c r="I319" s="1" t="str">
        <x:v>Projection</x:v>
      </x:c>
    </x:row>
    <x:row r="320" ht="21" customHeight="1">
      <x:c r="A320" s="1" t="n">
        <x:v>309</x:v>
      </x:c>
      <x:c r="B320" s="6" t="n">
        <x:v>55243</x:v>
      </x:c>
      <x:c r="C320" s="7" t="n">
        <x:f>G319</x:f>
        <x:v>143675.85</x:v>
      </x:c>
      <x:c r="D320" s="7" t="n">
        <x:f>IF(A320=$B$7,ROUND(C320+E320,2),MIN($B$8,ROUND(C320+E320,2)))</x:f>
        <x:v>3151.17</x:v>
      </x:c>
      <x:c r="E320" s="7" t="n">
        <x:f>ROUND(C320*$B$6/12,2)</x:f>
        <x:v>730.35</x:v>
      </x:c>
      <x:c r="F320" s="7" t="n">
        <x:f>ROUND(D320-E320,2)</x:f>
        <x:v>2420.82</x:v>
      </x:c>
      <x:c r="G320" s="7" t="n">
        <x:f>ROUND(C320-F320,2)</x:f>
        <x:v>141255.03</x:v>
      </x:c>
      <x:c r="H320" s="7" t="n">
        <x:f>ROUND(D320-E320-F320,2)</x:f>
        <x:v>0</x:v>
      </x:c>
      <x:c r="I320" s="1" t="str">
        <x:v>Projection</x:v>
      </x:c>
    </x:row>
    <x:row r="321" ht="21" customHeight="1">
      <x:c r="A321" s="1" t="n">
        <x:v>310</x:v>
      </x:c>
      <x:c r="B321" s="6" t="n">
        <x:v>55273</x:v>
      </x:c>
      <x:c r="C321" s="7" t="n">
        <x:f>G320</x:f>
        <x:v>141255.03</x:v>
      </x:c>
      <x:c r="D321" s="7" t="n">
        <x:f>IF(A321=$B$7,ROUND(C321+E321,2),MIN($B$8,ROUND(C321+E321,2)))</x:f>
        <x:v>3151.17</x:v>
      </x:c>
      <x:c r="E321" s="7" t="n">
        <x:f>ROUND(C321*$B$6/12,2)</x:f>
        <x:v>718.05</x:v>
      </x:c>
      <x:c r="F321" s="7" t="n">
        <x:f>ROUND(D321-E321,2)</x:f>
        <x:v>2433.12</x:v>
      </x:c>
      <x:c r="G321" s="7" t="n">
        <x:f>ROUND(C321-F321,2)</x:f>
        <x:v>138821.91</x:v>
      </x:c>
      <x:c r="H321" s="7" t="n">
        <x:f>ROUND(D321-E321-F321,2)</x:f>
        <x:v>0</x:v>
      </x:c>
      <x:c r="I321" s="1" t="str">
        <x:v>Projection</x:v>
      </x:c>
    </x:row>
    <x:row r="322" ht="21" customHeight="1">
      <x:c r="A322" s="1" t="n">
        <x:v>311</x:v>
      </x:c>
      <x:c r="B322" s="6" t="n">
        <x:v>55304</x:v>
      </x:c>
      <x:c r="C322" s="7" t="n">
        <x:f>G321</x:f>
        <x:v>138821.91</x:v>
      </x:c>
      <x:c r="D322" s="7" t="n">
        <x:f>IF(A322=$B$7,ROUND(C322+E322,2),MIN($B$8,ROUND(C322+E322,2)))</x:f>
        <x:v>3151.17</x:v>
      </x:c>
      <x:c r="E322" s="7" t="n">
        <x:f>ROUND(C322*$B$6/12,2)</x:f>
        <x:v>705.68</x:v>
      </x:c>
      <x:c r="F322" s="7" t="n">
        <x:f>ROUND(D322-E322,2)</x:f>
        <x:v>2445.49</x:v>
      </x:c>
      <x:c r="G322" s="7" t="n">
        <x:f>ROUND(C322-F322,2)</x:f>
        <x:v>136376.42</x:v>
      </x:c>
      <x:c r="H322" s="7" t="n">
        <x:f>ROUND(D322-E322-F322,2)</x:f>
        <x:v>0</x:v>
      </x:c>
      <x:c r="I322" s="1" t="str">
        <x:v>Projection</x:v>
      </x:c>
    </x:row>
    <x:row r="323" ht="21" customHeight="1">
      <x:c r="A323" s="1" t="n">
        <x:v>312</x:v>
      </x:c>
      <x:c r="B323" s="6" t="n">
        <x:v>55334</x:v>
      </x:c>
      <x:c r="C323" s="7" t="n">
        <x:f>G322</x:f>
        <x:v>136376.42</x:v>
      </x:c>
      <x:c r="D323" s="7" t="n">
        <x:f>IF(A323=$B$7,ROUND(C323+E323,2),MIN($B$8,ROUND(C323+E323,2)))</x:f>
        <x:v>3151.17</x:v>
      </x:c>
      <x:c r="E323" s="7" t="n">
        <x:f>ROUND(C323*$B$6/12,2)</x:f>
        <x:v>693.25</x:v>
      </x:c>
      <x:c r="F323" s="7" t="n">
        <x:f>ROUND(D323-E323,2)</x:f>
        <x:v>2457.92</x:v>
      </x:c>
      <x:c r="G323" s="7" t="n">
        <x:f>ROUND(C323-F323,2)</x:f>
        <x:v>133918.5</x:v>
      </x:c>
      <x:c r="H323" s="7" t="n">
        <x:f>ROUND(D323-E323-F323,2)</x:f>
        <x:v>0</x:v>
      </x:c>
      <x:c r="I323" s="1" t="str">
        <x:v>Projection</x:v>
      </x:c>
    </x:row>
    <x:row r="324" ht="21" customHeight="1">
      <x:c r="A324" s="1" t="n">
        <x:v>313</x:v>
      </x:c>
      <x:c r="B324" s="6" t="n">
        <x:v>55365</x:v>
      </x:c>
      <x:c r="C324" s="7" t="n">
        <x:f>G323</x:f>
        <x:v>133918.5</x:v>
      </x:c>
      <x:c r="D324" s="7" t="n">
        <x:f>IF(A324=$B$7,ROUND(C324+E324,2),MIN($B$8,ROUND(C324+E324,2)))</x:f>
        <x:v>3151.17</x:v>
      </x:c>
      <x:c r="E324" s="7" t="n">
        <x:f>ROUND(C324*$B$6/12,2)</x:f>
        <x:v>680.75</x:v>
      </x:c>
      <x:c r="F324" s="7" t="n">
        <x:f>ROUND(D324-E324,2)</x:f>
        <x:v>2470.42</x:v>
      </x:c>
      <x:c r="G324" s="7" t="n">
        <x:f>ROUND(C324-F324,2)</x:f>
        <x:v>131448.08</x:v>
      </x:c>
      <x:c r="H324" s="7" t="n">
        <x:f>ROUND(D324-E324-F324,2)</x:f>
        <x:v>0</x:v>
      </x:c>
      <x:c r="I324" s="1" t="str">
        <x:v>Projection</x:v>
      </x:c>
    </x:row>
    <x:row r="325" ht="21" customHeight="1">
      <x:c r="A325" s="1" t="n">
        <x:v>314</x:v>
      </x:c>
      <x:c r="B325" s="6" t="n">
        <x:v>55396</x:v>
      </x:c>
      <x:c r="C325" s="7" t="n">
        <x:f>G324</x:f>
        <x:v>131448.08</x:v>
      </x:c>
      <x:c r="D325" s="7" t="n">
        <x:f>IF(A325=$B$7,ROUND(C325+E325,2),MIN($B$8,ROUND(C325+E325,2)))</x:f>
        <x:v>3151.17</x:v>
      </x:c>
      <x:c r="E325" s="7" t="n">
        <x:f>ROUND(C325*$B$6/12,2)</x:f>
        <x:v>668.19</x:v>
      </x:c>
      <x:c r="F325" s="7" t="n">
        <x:f>ROUND(D325-E325,2)</x:f>
        <x:v>2482.98</x:v>
      </x:c>
      <x:c r="G325" s="7" t="n">
        <x:f>ROUND(C325-F325,2)</x:f>
        <x:v>128965.1</x:v>
      </x:c>
      <x:c r="H325" s="7" t="n">
        <x:f>ROUND(D325-E325-F325,2)</x:f>
        <x:v>0</x:v>
      </x:c>
      <x:c r="I325" s="1" t="str">
        <x:v>Projection</x:v>
      </x:c>
    </x:row>
    <x:row r="326" ht="21" customHeight="1">
      <x:c r="A326" s="1" t="n">
        <x:v>315</x:v>
      </x:c>
      <x:c r="B326" s="6" t="n">
        <x:v>55426</x:v>
      </x:c>
      <x:c r="C326" s="7" t="n">
        <x:f>G325</x:f>
        <x:v>128965.1</x:v>
      </x:c>
      <x:c r="D326" s="7" t="n">
        <x:f>IF(A326=$B$7,ROUND(C326+E326,2),MIN($B$8,ROUND(C326+E326,2)))</x:f>
        <x:v>3151.17</x:v>
      </x:c>
      <x:c r="E326" s="7" t="n">
        <x:f>ROUND(C326*$B$6/12,2)</x:f>
        <x:v>655.57</x:v>
      </x:c>
      <x:c r="F326" s="7" t="n">
        <x:f>ROUND(D326-E326,2)</x:f>
        <x:v>2495.6</x:v>
      </x:c>
      <x:c r="G326" s="7" t="n">
        <x:f>ROUND(C326-F326,2)</x:f>
        <x:v>126469.5</x:v>
      </x:c>
      <x:c r="H326" s="7" t="n">
        <x:f>ROUND(D326-E326-F326,2)</x:f>
        <x:v>0</x:v>
      </x:c>
      <x:c r="I326" s="1" t="str">
        <x:v>Projection</x:v>
      </x:c>
    </x:row>
    <x:row r="327" ht="21" customHeight="1">
      <x:c r="A327" s="1" t="n">
        <x:v>316</x:v>
      </x:c>
      <x:c r="B327" s="6" t="n">
        <x:v>55457</x:v>
      </x:c>
      <x:c r="C327" s="7" t="n">
        <x:f>G326</x:f>
        <x:v>126469.5</x:v>
      </x:c>
      <x:c r="D327" s="7" t="n">
        <x:f>IF(A327=$B$7,ROUND(C327+E327,2),MIN($B$8,ROUND(C327+E327,2)))</x:f>
        <x:v>3151.17</x:v>
      </x:c>
      <x:c r="E327" s="7" t="n">
        <x:f>ROUND(C327*$B$6/12,2)</x:f>
        <x:v>642.89</x:v>
      </x:c>
      <x:c r="F327" s="7" t="n">
        <x:f>ROUND(D327-E327,2)</x:f>
        <x:v>2508.28</x:v>
      </x:c>
      <x:c r="G327" s="7" t="n">
        <x:f>ROUND(C327-F327,2)</x:f>
        <x:v>123961.22</x:v>
      </x:c>
      <x:c r="H327" s="7" t="n">
        <x:f>ROUND(D327-E327-F327,2)</x:f>
        <x:v>0</x:v>
      </x:c>
      <x:c r="I327" s="1" t="str">
        <x:v>Projection</x:v>
      </x:c>
    </x:row>
    <x:row r="328" ht="21" customHeight="1">
      <x:c r="A328" s="1" t="n">
        <x:v>317</x:v>
      </x:c>
      <x:c r="B328" s="6" t="n">
        <x:v>55487</x:v>
      </x:c>
      <x:c r="C328" s="7" t="n">
        <x:f>G327</x:f>
        <x:v>123961.22</x:v>
      </x:c>
      <x:c r="D328" s="7" t="n">
        <x:f>IF(A328=$B$7,ROUND(C328+E328,2),MIN($B$8,ROUND(C328+E328,2)))</x:f>
        <x:v>3151.17</x:v>
      </x:c>
      <x:c r="E328" s="7" t="n">
        <x:f>ROUND(C328*$B$6/12,2)</x:f>
        <x:v>630.14</x:v>
      </x:c>
      <x:c r="F328" s="7" t="n">
        <x:f>ROUND(D328-E328,2)</x:f>
        <x:v>2521.03</x:v>
      </x:c>
      <x:c r="G328" s="7" t="n">
        <x:f>ROUND(C328-F328,2)</x:f>
        <x:v>121440.19</x:v>
      </x:c>
      <x:c r="H328" s="7" t="n">
        <x:f>ROUND(D328-E328-F328,2)</x:f>
        <x:v>0</x:v>
      </x:c>
      <x:c r="I328" s="1" t="str">
        <x:v>Projection</x:v>
      </x:c>
    </x:row>
    <x:row r="329" ht="21" customHeight="1">
      <x:c r="A329" s="1" t="n">
        <x:v>318</x:v>
      </x:c>
      <x:c r="B329" s="6" t="n">
        <x:v>55518</x:v>
      </x:c>
      <x:c r="C329" s="7" t="n">
        <x:f>G328</x:f>
        <x:v>121440.19</x:v>
      </x:c>
      <x:c r="D329" s="7" t="n">
        <x:f>IF(A329=$B$7,ROUND(C329+E329,2),MIN($B$8,ROUND(C329+E329,2)))</x:f>
        <x:v>3151.17</x:v>
      </x:c>
      <x:c r="E329" s="7" t="n">
        <x:f>ROUND(C329*$B$6/12,2)</x:f>
        <x:v>617.32</x:v>
      </x:c>
      <x:c r="F329" s="7" t="n">
        <x:f>ROUND(D329-E329,2)</x:f>
        <x:v>2533.85</x:v>
      </x:c>
      <x:c r="G329" s="7" t="n">
        <x:f>ROUND(C329-F329,2)</x:f>
        <x:v>118906.34</x:v>
      </x:c>
      <x:c r="H329" s="7" t="n">
        <x:f>ROUND(D329-E329-F329,2)</x:f>
        <x:v>0</x:v>
      </x:c>
      <x:c r="I329" s="1" t="str">
        <x:v>Projection</x:v>
      </x:c>
    </x:row>
    <x:row r="330" ht="21" customHeight="1">
      <x:c r="A330" s="1" t="n">
        <x:v>319</x:v>
      </x:c>
      <x:c r="B330" s="6" t="n">
        <x:v>55549</x:v>
      </x:c>
      <x:c r="C330" s="7" t="n">
        <x:f>G329</x:f>
        <x:v>118906.34</x:v>
      </x:c>
      <x:c r="D330" s="7" t="n">
        <x:f>IF(A330=$B$7,ROUND(C330+E330,2),MIN($B$8,ROUND(C330+E330,2)))</x:f>
        <x:v>3151.17</x:v>
      </x:c>
      <x:c r="E330" s="7" t="n">
        <x:f>ROUND(C330*$B$6/12,2)</x:f>
        <x:v>604.44</x:v>
      </x:c>
      <x:c r="F330" s="7" t="n">
        <x:f>ROUND(D330-E330,2)</x:f>
        <x:v>2546.73</x:v>
      </x:c>
      <x:c r="G330" s="7" t="n">
        <x:f>ROUND(C330-F330,2)</x:f>
        <x:v>116359.61</x:v>
      </x:c>
      <x:c r="H330" s="7" t="n">
        <x:f>ROUND(D330-E330-F330,2)</x:f>
        <x:v>0</x:v>
      </x:c>
      <x:c r="I330" s="1" t="str">
        <x:v>Projection</x:v>
      </x:c>
    </x:row>
    <x:row r="331" ht="21" customHeight="1">
      <x:c r="A331" s="1" t="n">
        <x:v>320</x:v>
      </x:c>
      <x:c r="B331" s="6" t="n">
        <x:v>55578</x:v>
      </x:c>
      <x:c r="C331" s="7" t="n">
        <x:f>G330</x:f>
        <x:v>116359.61</x:v>
      </x:c>
      <x:c r="D331" s="7" t="n">
        <x:f>IF(A331=$B$7,ROUND(C331+E331,2),MIN($B$8,ROUND(C331+E331,2)))</x:f>
        <x:v>3151.17</x:v>
      </x:c>
      <x:c r="E331" s="7" t="n">
        <x:f>ROUND(C331*$B$6/12,2)</x:f>
        <x:v>591.49</x:v>
      </x:c>
      <x:c r="F331" s="7" t="n">
        <x:f>ROUND(D331-E331,2)</x:f>
        <x:v>2559.68</x:v>
      </x:c>
      <x:c r="G331" s="7" t="n">
        <x:f>ROUND(C331-F331,2)</x:f>
        <x:v>113799.93</x:v>
      </x:c>
      <x:c r="H331" s="7" t="n">
        <x:f>ROUND(D331-E331-F331,2)</x:f>
        <x:v>0</x:v>
      </x:c>
      <x:c r="I331" s="1" t="str">
        <x:v>Projection</x:v>
      </x:c>
    </x:row>
    <x:row r="332" ht="21" customHeight="1">
      <x:c r="A332" s="1" t="n">
        <x:v>321</x:v>
      </x:c>
      <x:c r="B332" s="6" t="n">
        <x:v>55609</x:v>
      </x:c>
      <x:c r="C332" s="7" t="n">
        <x:f>G331</x:f>
        <x:v>113799.93</x:v>
      </x:c>
      <x:c r="D332" s="7" t="n">
        <x:f>IF(A332=$B$7,ROUND(C332+E332,2),MIN($B$8,ROUND(C332+E332,2)))</x:f>
        <x:v>3151.17</x:v>
      </x:c>
      <x:c r="E332" s="7" t="n">
        <x:f>ROUND(C332*$B$6/12,2)</x:f>
        <x:v>578.48</x:v>
      </x:c>
      <x:c r="F332" s="7" t="n">
        <x:f>ROUND(D332-E332,2)</x:f>
        <x:v>2572.69</x:v>
      </x:c>
      <x:c r="G332" s="7" t="n">
        <x:f>ROUND(C332-F332,2)</x:f>
        <x:v>111227.24</x:v>
      </x:c>
      <x:c r="H332" s="7" t="n">
        <x:f>ROUND(D332-E332-F332,2)</x:f>
        <x:v>0</x:v>
      </x:c>
      <x:c r="I332" s="1" t="str">
        <x:v>Projection</x:v>
      </x:c>
    </x:row>
    <x:row r="333" ht="21" customHeight="1">
      <x:c r="A333" s="1" t="n">
        <x:v>322</x:v>
      </x:c>
      <x:c r="B333" s="6" t="n">
        <x:v>55639</x:v>
      </x:c>
      <x:c r="C333" s="7" t="n">
        <x:f>G332</x:f>
        <x:v>111227.24</x:v>
      </x:c>
      <x:c r="D333" s="7" t="n">
        <x:f>IF(A333=$B$7,ROUND(C333+E333,2),MIN($B$8,ROUND(C333+E333,2)))</x:f>
        <x:v>3151.17</x:v>
      </x:c>
      <x:c r="E333" s="7" t="n">
        <x:f>ROUND(C333*$B$6/12,2)</x:f>
        <x:v>565.41</x:v>
      </x:c>
      <x:c r="F333" s="7" t="n">
        <x:f>ROUND(D333-E333,2)</x:f>
        <x:v>2585.76</x:v>
      </x:c>
      <x:c r="G333" s="7" t="n">
        <x:f>ROUND(C333-F333,2)</x:f>
        <x:v>108641.48</x:v>
      </x:c>
      <x:c r="H333" s="7" t="n">
        <x:f>ROUND(D333-E333-F333,2)</x:f>
        <x:v>0</x:v>
      </x:c>
      <x:c r="I333" s="1" t="str">
        <x:v>Projection</x:v>
      </x:c>
    </x:row>
    <x:row r="334" ht="21" customHeight="1">
      <x:c r="A334" s="1" t="n">
        <x:v>323</x:v>
      </x:c>
      <x:c r="B334" s="6" t="n">
        <x:v>55670</x:v>
      </x:c>
      <x:c r="C334" s="7" t="n">
        <x:f>G333</x:f>
        <x:v>108641.48</x:v>
      </x:c>
      <x:c r="D334" s="7" t="n">
        <x:f>IF(A334=$B$7,ROUND(C334+E334,2),MIN($B$8,ROUND(C334+E334,2)))</x:f>
        <x:v>3151.17</x:v>
      </x:c>
      <x:c r="E334" s="7" t="n">
        <x:f>ROUND(C334*$B$6/12,2)</x:f>
        <x:v>552.26</x:v>
      </x:c>
      <x:c r="F334" s="7" t="n">
        <x:f>ROUND(D334-E334,2)</x:f>
        <x:v>2598.91</x:v>
      </x:c>
      <x:c r="G334" s="7" t="n">
        <x:f>ROUND(C334-F334,2)</x:f>
        <x:v>106042.57</x:v>
      </x:c>
      <x:c r="H334" s="7" t="n">
        <x:f>ROUND(D334-E334-F334,2)</x:f>
        <x:v>0</x:v>
      </x:c>
      <x:c r="I334" s="1" t="str">
        <x:v>Projection</x:v>
      </x:c>
    </x:row>
    <x:row r="335" ht="21" customHeight="1">
      <x:c r="A335" s="1" t="n">
        <x:v>324</x:v>
      </x:c>
      <x:c r="B335" s="6" t="n">
        <x:v>55700</x:v>
      </x:c>
      <x:c r="C335" s="7" t="n">
        <x:f>G334</x:f>
        <x:v>106042.57</x:v>
      </x:c>
      <x:c r="D335" s="7" t="n">
        <x:f>IF(A335=$B$7,ROUND(C335+E335,2),MIN($B$8,ROUND(C335+E335,2)))</x:f>
        <x:v>3151.17</x:v>
      </x:c>
      <x:c r="E335" s="7" t="n">
        <x:f>ROUND(C335*$B$6/12,2)</x:f>
        <x:v>539.05</x:v>
      </x:c>
      <x:c r="F335" s="7" t="n">
        <x:f>ROUND(D335-E335,2)</x:f>
        <x:v>2612.12</x:v>
      </x:c>
      <x:c r="G335" s="7" t="n">
        <x:f>ROUND(C335-F335,2)</x:f>
        <x:v>103430.45</x:v>
      </x:c>
      <x:c r="H335" s="7" t="n">
        <x:f>ROUND(D335-E335-F335,2)</x:f>
        <x:v>0</x:v>
      </x:c>
      <x:c r="I335" s="1" t="str">
        <x:v>Projection</x:v>
      </x:c>
    </x:row>
    <x:row r="336" ht="21" customHeight="1">
      <x:c r="A336" s="1" t="n">
        <x:v>325</x:v>
      </x:c>
      <x:c r="B336" s="6" t="n">
        <x:v>55731</x:v>
      </x:c>
      <x:c r="C336" s="7" t="n">
        <x:f>G335</x:f>
        <x:v>103430.45</x:v>
      </x:c>
      <x:c r="D336" s="7" t="n">
        <x:f>IF(A336=$B$7,ROUND(C336+E336,2),MIN($B$8,ROUND(C336+E336,2)))</x:f>
        <x:v>3151.17</x:v>
      </x:c>
      <x:c r="E336" s="7" t="n">
        <x:f>ROUND(C336*$B$6/12,2)</x:f>
        <x:v>525.77</x:v>
      </x:c>
      <x:c r="F336" s="7" t="n">
        <x:f>ROUND(D336-E336,2)</x:f>
        <x:v>2625.4</x:v>
      </x:c>
      <x:c r="G336" s="7" t="n">
        <x:f>ROUND(C336-F336,2)</x:f>
        <x:v>100805.05</x:v>
      </x:c>
      <x:c r="H336" s="7" t="n">
        <x:f>ROUND(D336-E336-F336,2)</x:f>
        <x:v>0</x:v>
      </x:c>
      <x:c r="I336" s="1" t="str">
        <x:v>Projection</x:v>
      </x:c>
    </x:row>
    <x:row r="337" ht="21" customHeight="1">
      <x:c r="A337" s="1" t="n">
        <x:v>326</x:v>
      </x:c>
      <x:c r="B337" s="6" t="n">
        <x:v>55762</x:v>
      </x:c>
      <x:c r="C337" s="7" t="n">
        <x:f>G336</x:f>
        <x:v>100805.05</x:v>
      </x:c>
      <x:c r="D337" s="7" t="n">
        <x:f>IF(A337=$B$7,ROUND(C337+E337,2),MIN($B$8,ROUND(C337+E337,2)))</x:f>
        <x:v>3151.17</x:v>
      </x:c>
      <x:c r="E337" s="7" t="n">
        <x:f>ROUND(C337*$B$6/12,2)</x:f>
        <x:v>512.43</x:v>
      </x:c>
      <x:c r="F337" s="7" t="n">
        <x:f>ROUND(D337-E337,2)</x:f>
        <x:v>2638.74</x:v>
      </x:c>
      <x:c r="G337" s="7" t="n">
        <x:f>ROUND(C337-F337,2)</x:f>
        <x:v>98166.31</x:v>
      </x:c>
      <x:c r="H337" s="7" t="n">
        <x:f>ROUND(D337-E337-F337,2)</x:f>
        <x:v>0</x:v>
      </x:c>
      <x:c r="I337" s="1" t="str">
        <x:v>Projection</x:v>
      </x:c>
    </x:row>
    <x:row r="338" ht="21" customHeight="1">
      <x:c r="A338" s="1" t="n">
        <x:v>327</x:v>
      </x:c>
      <x:c r="B338" s="6" t="n">
        <x:v>55792</x:v>
      </x:c>
      <x:c r="C338" s="7" t="n">
        <x:f>G337</x:f>
        <x:v>98166.31</x:v>
      </x:c>
      <x:c r="D338" s="7" t="n">
        <x:f>IF(A338=$B$7,ROUND(C338+E338,2),MIN($B$8,ROUND(C338+E338,2)))</x:f>
        <x:v>3151.17</x:v>
      </x:c>
      <x:c r="E338" s="7" t="n">
        <x:f>ROUND(C338*$B$6/12,2)</x:f>
        <x:v>499.01</x:v>
      </x:c>
      <x:c r="F338" s="7" t="n">
        <x:f>ROUND(D338-E338,2)</x:f>
        <x:v>2652.16</x:v>
      </x:c>
      <x:c r="G338" s="7" t="n">
        <x:f>ROUND(C338-F338,2)</x:f>
        <x:v>95514.15</x:v>
      </x:c>
      <x:c r="H338" s="7" t="n">
        <x:f>ROUND(D338-E338-F338,2)</x:f>
        <x:v>0</x:v>
      </x:c>
      <x:c r="I338" s="1" t="str">
        <x:v>Projection</x:v>
      </x:c>
    </x:row>
    <x:row r="339" ht="21" customHeight="1">
      <x:c r="A339" s="1" t="n">
        <x:v>328</x:v>
      </x:c>
      <x:c r="B339" s="6" t="n">
        <x:v>55823</x:v>
      </x:c>
      <x:c r="C339" s="7" t="n">
        <x:f>G338</x:f>
        <x:v>95514.15</x:v>
      </x:c>
      <x:c r="D339" s="7" t="n">
        <x:f>IF(A339=$B$7,ROUND(C339+E339,2),MIN($B$8,ROUND(C339+E339,2)))</x:f>
        <x:v>3151.17</x:v>
      </x:c>
      <x:c r="E339" s="7" t="n">
        <x:f>ROUND(C339*$B$6/12,2)</x:f>
        <x:v>485.53</x:v>
      </x:c>
      <x:c r="F339" s="7" t="n">
        <x:f>ROUND(D339-E339,2)</x:f>
        <x:v>2665.64</x:v>
      </x:c>
      <x:c r="G339" s="7" t="n">
        <x:f>ROUND(C339-F339,2)</x:f>
        <x:v>92848.51</x:v>
      </x:c>
      <x:c r="H339" s="7" t="n">
        <x:f>ROUND(D339-E339-F339,2)</x:f>
        <x:v>0</x:v>
      </x:c>
      <x:c r="I339" s="1" t="str">
        <x:v>Projection</x:v>
      </x:c>
    </x:row>
    <x:row r="340" ht="21" customHeight="1">
      <x:c r="A340" s="1" t="n">
        <x:v>329</x:v>
      </x:c>
      <x:c r="B340" s="6" t="n">
        <x:v>55853</x:v>
      </x:c>
      <x:c r="C340" s="7" t="n">
        <x:f>G339</x:f>
        <x:v>92848.51</x:v>
      </x:c>
      <x:c r="D340" s="7" t="n">
        <x:f>IF(A340=$B$7,ROUND(C340+E340,2),MIN($B$8,ROUND(C340+E340,2)))</x:f>
        <x:v>3151.17</x:v>
      </x:c>
      <x:c r="E340" s="7" t="n">
        <x:f>ROUND(C340*$B$6/12,2)</x:f>
        <x:v>471.98</x:v>
      </x:c>
      <x:c r="F340" s="7" t="n">
        <x:f>ROUND(D340-E340,2)</x:f>
        <x:v>2679.19</x:v>
      </x:c>
      <x:c r="G340" s="7" t="n">
        <x:f>ROUND(C340-F340,2)</x:f>
        <x:v>90169.32</x:v>
      </x:c>
      <x:c r="H340" s="7" t="n">
        <x:f>ROUND(D340-E340-F340,2)</x:f>
        <x:v>0</x:v>
      </x:c>
      <x:c r="I340" s="1" t="str">
        <x:v>Projection</x:v>
      </x:c>
    </x:row>
    <x:row r="341" ht="21" customHeight="1">
      <x:c r="A341" s="1" t="n">
        <x:v>330</x:v>
      </x:c>
      <x:c r="B341" s="6" t="n">
        <x:v>55884</x:v>
      </x:c>
      <x:c r="C341" s="7" t="n">
        <x:f>G340</x:f>
        <x:v>90169.32</x:v>
      </x:c>
      <x:c r="D341" s="7" t="n">
        <x:f>IF(A341=$B$7,ROUND(C341+E341,2),MIN($B$8,ROUND(C341+E341,2)))</x:f>
        <x:v>3151.17</x:v>
      </x:c>
      <x:c r="E341" s="7" t="n">
        <x:f>ROUND(C341*$B$6/12,2)</x:f>
        <x:v>458.36</x:v>
      </x:c>
      <x:c r="F341" s="7" t="n">
        <x:f>ROUND(D341-E341,2)</x:f>
        <x:v>2692.81</x:v>
      </x:c>
      <x:c r="G341" s="7" t="n">
        <x:f>ROUND(C341-F341,2)</x:f>
        <x:v>87476.51</x:v>
      </x:c>
      <x:c r="H341" s="7" t="n">
        <x:f>ROUND(D341-E341-F341,2)</x:f>
        <x:v>0</x:v>
      </x:c>
      <x:c r="I341" s="1" t="str">
        <x:v>Projection</x:v>
      </x:c>
    </x:row>
    <x:row r="342" ht="21" customHeight="1">
      <x:c r="A342" s="1" t="n">
        <x:v>331</x:v>
      </x:c>
      <x:c r="B342" s="6" t="n">
        <x:v>55915</x:v>
      </x:c>
      <x:c r="C342" s="7" t="n">
        <x:f>G341</x:f>
        <x:v>87476.51</x:v>
      </x:c>
      <x:c r="D342" s="7" t="n">
        <x:f>IF(A342=$B$7,ROUND(C342+E342,2),MIN($B$8,ROUND(C342+E342,2)))</x:f>
        <x:v>3151.17</x:v>
      </x:c>
      <x:c r="E342" s="7" t="n">
        <x:f>ROUND(C342*$B$6/12,2)</x:f>
        <x:v>444.67</x:v>
      </x:c>
      <x:c r="F342" s="7" t="n">
        <x:f>ROUND(D342-E342,2)</x:f>
        <x:v>2706.5</x:v>
      </x:c>
      <x:c r="G342" s="7" t="n">
        <x:f>ROUND(C342-F342,2)</x:f>
        <x:v>84770.01</x:v>
      </x:c>
      <x:c r="H342" s="7" t="n">
        <x:f>ROUND(D342-E342-F342,2)</x:f>
        <x:v>0</x:v>
      </x:c>
      <x:c r="I342" s="1" t="str">
        <x:v>Projection</x:v>
      </x:c>
    </x:row>
    <x:row r="343" ht="21" customHeight="1">
      <x:c r="A343" s="1" t="n">
        <x:v>332</x:v>
      </x:c>
      <x:c r="B343" s="6" t="n">
        <x:v>55943</x:v>
      </x:c>
      <x:c r="C343" s="7" t="n">
        <x:f>G342</x:f>
        <x:v>84770.01</x:v>
      </x:c>
      <x:c r="D343" s="7" t="n">
        <x:f>IF(A343=$B$7,ROUND(C343+E343,2),MIN($B$8,ROUND(C343+E343,2)))</x:f>
        <x:v>3151.17</x:v>
      </x:c>
      <x:c r="E343" s="7" t="n">
        <x:f>ROUND(C343*$B$6/12,2)</x:f>
        <x:v>430.91</x:v>
      </x:c>
      <x:c r="F343" s="7" t="n">
        <x:f>ROUND(D343-E343,2)</x:f>
        <x:v>2720.26</x:v>
      </x:c>
      <x:c r="G343" s="7" t="n">
        <x:f>ROUND(C343-F343,2)</x:f>
        <x:v>82049.75</x:v>
      </x:c>
      <x:c r="H343" s="7" t="n">
        <x:f>ROUND(D343-E343-F343,2)</x:f>
        <x:v>0</x:v>
      </x:c>
      <x:c r="I343" s="1" t="str">
        <x:v>Projection</x:v>
      </x:c>
    </x:row>
    <x:row r="344" ht="21" customHeight="1">
      <x:c r="A344" s="1" t="n">
        <x:v>333</x:v>
      </x:c>
      <x:c r="B344" s="6" t="n">
        <x:v>55974</x:v>
      </x:c>
      <x:c r="C344" s="7" t="n">
        <x:f>G343</x:f>
        <x:v>82049.75</x:v>
      </x:c>
      <x:c r="D344" s="7" t="n">
        <x:f>IF(A344=$B$7,ROUND(C344+E344,2),MIN($B$8,ROUND(C344+E344,2)))</x:f>
        <x:v>3151.17</x:v>
      </x:c>
      <x:c r="E344" s="7" t="n">
        <x:f>ROUND(C344*$B$6/12,2)</x:f>
        <x:v>417.09</x:v>
      </x:c>
      <x:c r="F344" s="7" t="n">
        <x:f>ROUND(D344-E344,2)</x:f>
        <x:v>2734.08</x:v>
      </x:c>
      <x:c r="G344" s="7" t="n">
        <x:f>ROUND(C344-F344,2)</x:f>
        <x:v>79315.67</x:v>
      </x:c>
      <x:c r="H344" s="7" t="n">
        <x:f>ROUND(D344-E344-F344,2)</x:f>
        <x:v>0</x:v>
      </x:c>
      <x:c r="I344" s="1" t="str">
        <x:v>Projection</x:v>
      </x:c>
    </x:row>
    <x:row r="345" ht="21" customHeight="1">
      <x:c r="A345" s="1" t="n">
        <x:v>334</x:v>
      </x:c>
      <x:c r="B345" s="6" t="n">
        <x:v>56004</x:v>
      </x:c>
      <x:c r="C345" s="7" t="n">
        <x:f>G344</x:f>
        <x:v>79315.67</x:v>
      </x:c>
      <x:c r="D345" s="7" t="n">
        <x:f>IF(A345=$B$7,ROUND(C345+E345,2),MIN($B$8,ROUND(C345+E345,2)))</x:f>
        <x:v>3151.17</x:v>
      </x:c>
      <x:c r="E345" s="7" t="n">
        <x:f>ROUND(C345*$B$6/12,2)</x:f>
        <x:v>403.19</x:v>
      </x:c>
      <x:c r="F345" s="7" t="n">
        <x:f>ROUND(D345-E345,2)</x:f>
        <x:v>2747.98</x:v>
      </x:c>
      <x:c r="G345" s="7" t="n">
        <x:f>ROUND(C345-F345,2)</x:f>
        <x:v>76567.69</x:v>
      </x:c>
      <x:c r="H345" s="7" t="n">
        <x:f>ROUND(D345-E345-F345,2)</x:f>
        <x:v>0</x:v>
      </x:c>
      <x:c r="I345" s="1" t="str">
        <x:v>Projection</x:v>
      </x:c>
    </x:row>
    <x:row r="346" ht="21" customHeight="1">
      <x:c r="A346" s="1" t="n">
        <x:v>335</x:v>
      </x:c>
      <x:c r="B346" s="6" t="n">
        <x:v>56035</x:v>
      </x:c>
      <x:c r="C346" s="7" t="n">
        <x:f>G345</x:f>
        <x:v>76567.69</x:v>
      </x:c>
      <x:c r="D346" s="7" t="n">
        <x:f>IF(A346=$B$7,ROUND(C346+E346,2),MIN($B$8,ROUND(C346+E346,2)))</x:f>
        <x:v>3151.17</x:v>
      </x:c>
      <x:c r="E346" s="7" t="n">
        <x:f>ROUND(C346*$B$6/12,2)</x:f>
        <x:v>389.22</x:v>
      </x:c>
      <x:c r="F346" s="7" t="n">
        <x:f>ROUND(D346-E346,2)</x:f>
        <x:v>2761.95</x:v>
      </x:c>
      <x:c r="G346" s="7" t="n">
        <x:f>ROUND(C346-F346,2)</x:f>
        <x:v>73805.74</x:v>
      </x:c>
      <x:c r="H346" s="7" t="n">
        <x:f>ROUND(D346-E346-F346,2)</x:f>
        <x:v>0</x:v>
      </x:c>
      <x:c r="I346" s="1" t="str">
        <x:v>Projection</x:v>
      </x:c>
    </x:row>
    <x:row r="347" ht="21" customHeight="1">
      <x:c r="A347" s="1" t="n">
        <x:v>336</x:v>
      </x:c>
      <x:c r="B347" s="6" t="n">
        <x:v>56065</x:v>
      </x:c>
      <x:c r="C347" s="7" t="n">
        <x:f>G346</x:f>
        <x:v>73805.74</x:v>
      </x:c>
      <x:c r="D347" s="7" t="n">
        <x:f>IF(A347=$B$7,ROUND(C347+E347,2),MIN($B$8,ROUND(C347+E347,2)))</x:f>
        <x:v>3151.17</x:v>
      </x:c>
      <x:c r="E347" s="7" t="n">
        <x:f>ROUND(C347*$B$6/12,2)</x:f>
        <x:v>375.18</x:v>
      </x:c>
      <x:c r="F347" s="7" t="n">
        <x:f>ROUND(D347-E347,2)</x:f>
        <x:v>2775.99</x:v>
      </x:c>
      <x:c r="G347" s="7" t="n">
        <x:f>ROUND(C347-F347,2)</x:f>
        <x:v>71029.75</x:v>
      </x:c>
      <x:c r="H347" s="7" t="n">
        <x:f>ROUND(D347-E347-F347,2)</x:f>
        <x:v>0</x:v>
      </x:c>
      <x:c r="I347" s="1" t="str">
        <x:v>Projection</x:v>
      </x:c>
    </x:row>
    <x:row r="348" ht="21" customHeight="1">
      <x:c r="A348" s="1" t="n">
        <x:v>337</x:v>
      </x:c>
      <x:c r="B348" s="6" t="n">
        <x:v>56096</x:v>
      </x:c>
      <x:c r="C348" s="7" t="n">
        <x:f>G347</x:f>
        <x:v>71029.75</x:v>
      </x:c>
      <x:c r="D348" s="7" t="n">
        <x:f>IF(A348=$B$7,ROUND(C348+E348,2),MIN($B$8,ROUND(C348+E348,2)))</x:f>
        <x:v>3151.17</x:v>
      </x:c>
      <x:c r="E348" s="7" t="n">
        <x:f>ROUND(C348*$B$6/12,2)</x:f>
        <x:v>361.07</x:v>
      </x:c>
      <x:c r="F348" s="7" t="n">
        <x:f>ROUND(D348-E348,2)</x:f>
        <x:v>2790.1</x:v>
      </x:c>
      <x:c r="G348" s="7" t="n">
        <x:f>ROUND(C348-F348,2)</x:f>
        <x:v>68239.65</x:v>
      </x:c>
      <x:c r="H348" s="7" t="n">
        <x:f>ROUND(D348-E348-F348,2)</x:f>
        <x:v>0</x:v>
      </x:c>
      <x:c r="I348" s="1" t="str">
        <x:v>Projection</x:v>
      </x:c>
    </x:row>
    <x:row r="349" ht="21" customHeight="1">
      <x:c r="A349" s="1" t="n">
        <x:v>338</x:v>
      </x:c>
      <x:c r="B349" s="6" t="n">
        <x:v>56127</x:v>
      </x:c>
      <x:c r="C349" s="7" t="n">
        <x:f>G348</x:f>
        <x:v>68239.65</x:v>
      </x:c>
      <x:c r="D349" s="7" t="n">
        <x:f>IF(A349=$B$7,ROUND(C349+E349,2),MIN($B$8,ROUND(C349+E349,2)))</x:f>
        <x:v>3151.17</x:v>
      </x:c>
      <x:c r="E349" s="7" t="n">
        <x:f>ROUND(C349*$B$6/12,2)</x:f>
        <x:v>346.88</x:v>
      </x:c>
      <x:c r="F349" s="7" t="n">
        <x:f>ROUND(D349-E349,2)</x:f>
        <x:v>2804.29</x:v>
      </x:c>
      <x:c r="G349" s="7" t="n">
        <x:f>ROUND(C349-F349,2)</x:f>
        <x:v>65435.36</x:v>
      </x:c>
      <x:c r="H349" s="7" t="n">
        <x:f>ROUND(D349-E349-F349,2)</x:f>
        <x:v>0</x:v>
      </x:c>
      <x:c r="I349" s="1" t="str">
        <x:v>Projection</x:v>
      </x:c>
    </x:row>
    <x:row r="350" ht="21" customHeight="1">
      <x:c r="A350" s="1" t="n">
        <x:v>339</x:v>
      </x:c>
      <x:c r="B350" s="6" t="n">
        <x:v>56157</x:v>
      </x:c>
      <x:c r="C350" s="7" t="n">
        <x:f>G349</x:f>
        <x:v>65435.36</x:v>
      </x:c>
      <x:c r="D350" s="7" t="n">
        <x:f>IF(A350=$B$7,ROUND(C350+E350,2),MIN($B$8,ROUND(C350+E350,2)))</x:f>
        <x:v>3151.17</x:v>
      </x:c>
      <x:c r="E350" s="7" t="n">
        <x:f>ROUND(C350*$B$6/12,2)</x:f>
        <x:v>332.63</x:v>
      </x:c>
      <x:c r="F350" s="7" t="n">
        <x:f>ROUND(D350-E350,2)</x:f>
        <x:v>2818.54</x:v>
      </x:c>
      <x:c r="G350" s="7" t="n">
        <x:f>ROUND(C350-F350,2)</x:f>
        <x:v>62616.82</x:v>
      </x:c>
      <x:c r="H350" s="7" t="n">
        <x:f>ROUND(D350-E350-F350,2)</x:f>
        <x:v>0</x:v>
      </x:c>
      <x:c r="I350" s="1" t="str">
        <x:v>Projection</x:v>
      </x:c>
    </x:row>
    <x:row r="351" ht="21" customHeight="1">
      <x:c r="A351" s="1" t="n">
        <x:v>340</x:v>
      </x:c>
      <x:c r="B351" s="6" t="n">
        <x:v>56188</x:v>
      </x:c>
      <x:c r="C351" s="7" t="n">
        <x:f>G350</x:f>
        <x:v>62616.82</x:v>
      </x:c>
      <x:c r="D351" s="7" t="n">
        <x:f>IF(A351=$B$7,ROUND(C351+E351,2),MIN($B$8,ROUND(C351+E351,2)))</x:f>
        <x:v>3151.17</x:v>
      </x:c>
      <x:c r="E351" s="7" t="n">
        <x:f>ROUND(C351*$B$6/12,2)</x:f>
        <x:v>318.3</x:v>
      </x:c>
      <x:c r="F351" s="7" t="n">
        <x:f>ROUND(D351-E351,2)</x:f>
        <x:v>2832.87</x:v>
      </x:c>
      <x:c r="G351" s="7" t="n">
        <x:f>ROUND(C351-F351,2)</x:f>
        <x:v>59783.95</x:v>
      </x:c>
      <x:c r="H351" s="7" t="n">
        <x:f>ROUND(D351-E351-F351,2)</x:f>
        <x:v>0</x:v>
      </x:c>
      <x:c r="I351" s="1" t="str">
        <x:v>Projection</x:v>
      </x:c>
    </x:row>
    <x:row r="352" ht="21" customHeight="1">
      <x:c r="A352" s="1" t="n">
        <x:v>341</x:v>
      </x:c>
      <x:c r="B352" s="6" t="n">
        <x:v>56218</x:v>
      </x:c>
      <x:c r="C352" s="7" t="n">
        <x:f>G351</x:f>
        <x:v>59783.95</x:v>
      </x:c>
      <x:c r="D352" s="7" t="n">
        <x:f>IF(A352=$B$7,ROUND(C352+E352,2),MIN($B$8,ROUND(C352+E352,2)))</x:f>
        <x:v>3151.17</x:v>
      </x:c>
      <x:c r="E352" s="7" t="n">
        <x:f>ROUND(C352*$B$6/12,2)</x:f>
        <x:v>303.9</x:v>
      </x:c>
      <x:c r="F352" s="7" t="n">
        <x:f>ROUND(D352-E352,2)</x:f>
        <x:v>2847.27</x:v>
      </x:c>
      <x:c r="G352" s="7" t="n">
        <x:f>ROUND(C352-F352,2)</x:f>
        <x:v>56936.68</x:v>
      </x:c>
      <x:c r="H352" s="7" t="n">
        <x:f>ROUND(D352-E352-F352,2)</x:f>
        <x:v>0</x:v>
      </x:c>
      <x:c r="I352" s="1" t="str">
        <x:v>Projection</x:v>
      </x:c>
    </x:row>
    <x:row r="353" ht="21" customHeight="1">
      <x:c r="A353" s="1" t="n">
        <x:v>342</x:v>
      </x:c>
      <x:c r="B353" s="6" t="n">
        <x:v>56249</x:v>
      </x:c>
      <x:c r="C353" s="7" t="n">
        <x:f>G352</x:f>
        <x:v>56936.68</x:v>
      </x:c>
      <x:c r="D353" s="7" t="n">
        <x:f>IF(A353=$B$7,ROUND(C353+E353,2),MIN($B$8,ROUND(C353+E353,2)))</x:f>
        <x:v>3151.17</x:v>
      </x:c>
      <x:c r="E353" s="7" t="n">
        <x:f>ROUND(C353*$B$6/12,2)</x:f>
        <x:v>289.43</x:v>
      </x:c>
      <x:c r="F353" s="7" t="n">
        <x:f>ROUND(D353-E353,2)</x:f>
        <x:v>2861.74</x:v>
      </x:c>
      <x:c r="G353" s="7" t="n">
        <x:f>ROUND(C353-F353,2)</x:f>
        <x:v>54074.94</x:v>
      </x:c>
      <x:c r="H353" s="7" t="n">
        <x:f>ROUND(D353-E353-F353,2)</x:f>
        <x:v>0</x:v>
      </x:c>
      <x:c r="I353" s="1" t="str">
        <x:v>Projection</x:v>
      </x:c>
    </x:row>
    <x:row r="354" ht="21" customHeight="1">
      <x:c r="A354" s="1" t="n">
        <x:v>343</x:v>
      </x:c>
      <x:c r="B354" s="6" t="n">
        <x:v>56280</x:v>
      </x:c>
      <x:c r="C354" s="7" t="n">
        <x:f>G353</x:f>
        <x:v>54074.94</x:v>
      </x:c>
      <x:c r="D354" s="7" t="n">
        <x:f>IF(A354=$B$7,ROUND(C354+E354,2),MIN($B$8,ROUND(C354+E354,2)))</x:f>
        <x:v>3151.17</x:v>
      </x:c>
      <x:c r="E354" s="7" t="n">
        <x:f>ROUND(C354*$B$6/12,2)</x:f>
        <x:v>274.88</x:v>
      </x:c>
      <x:c r="F354" s="7" t="n">
        <x:f>ROUND(D354-E354,2)</x:f>
        <x:v>2876.29</x:v>
      </x:c>
      <x:c r="G354" s="7" t="n">
        <x:f>ROUND(C354-F354,2)</x:f>
        <x:v>51198.65</x:v>
      </x:c>
      <x:c r="H354" s="7" t="n">
        <x:f>ROUND(D354-E354-F354,2)</x:f>
        <x:v>0</x:v>
      </x:c>
      <x:c r="I354" s="1" t="str">
        <x:v>Projection</x:v>
      </x:c>
    </x:row>
    <x:row r="355" ht="21" customHeight="1">
      <x:c r="A355" s="1" t="n">
        <x:v>344</x:v>
      </x:c>
      <x:c r="B355" s="6" t="n">
        <x:v>56308</x:v>
      </x:c>
      <x:c r="C355" s="7" t="n">
        <x:f>G354</x:f>
        <x:v>51198.65</x:v>
      </x:c>
      <x:c r="D355" s="7" t="n">
        <x:f>IF(A355=$B$7,ROUND(C355+E355,2),MIN($B$8,ROUND(C355+E355,2)))</x:f>
        <x:v>3151.17</x:v>
      </x:c>
      <x:c r="E355" s="7" t="n">
        <x:f>ROUND(C355*$B$6/12,2)</x:f>
        <x:v>260.26</x:v>
      </x:c>
      <x:c r="F355" s="7" t="n">
        <x:f>ROUND(D355-E355,2)</x:f>
        <x:v>2890.91</x:v>
      </x:c>
      <x:c r="G355" s="7" t="n">
        <x:f>ROUND(C355-F355,2)</x:f>
        <x:v>48307.74</x:v>
      </x:c>
      <x:c r="H355" s="7" t="n">
        <x:f>ROUND(D355-E355-F355,2)</x:f>
        <x:v>0</x:v>
      </x:c>
      <x:c r="I355" s="1" t="str">
        <x:v>Projection</x:v>
      </x:c>
    </x:row>
    <x:row r="356" ht="21" customHeight="1">
      <x:c r="A356" s="1" t="n">
        <x:v>345</x:v>
      </x:c>
      <x:c r="B356" s="6" t="n">
        <x:v>56339</x:v>
      </x:c>
      <x:c r="C356" s="7" t="n">
        <x:f>G355</x:f>
        <x:v>48307.74</x:v>
      </x:c>
      <x:c r="D356" s="7" t="n">
        <x:f>IF(A356=$B$7,ROUND(C356+E356,2),MIN($B$8,ROUND(C356+E356,2)))</x:f>
        <x:v>3151.17</x:v>
      </x:c>
      <x:c r="E356" s="7" t="n">
        <x:f>ROUND(C356*$B$6/12,2)</x:f>
        <x:v>245.56</x:v>
      </x:c>
      <x:c r="F356" s="7" t="n">
        <x:f>ROUND(D356-E356,2)</x:f>
        <x:v>2905.61</x:v>
      </x:c>
      <x:c r="G356" s="7" t="n">
        <x:f>ROUND(C356-F356,2)</x:f>
        <x:v>45402.13</x:v>
      </x:c>
      <x:c r="H356" s="7" t="n">
        <x:f>ROUND(D356-E356-F356,2)</x:f>
        <x:v>0</x:v>
      </x:c>
      <x:c r="I356" s="1" t="str">
        <x:v>Projection</x:v>
      </x:c>
    </x:row>
    <x:row r="357" ht="21" customHeight="1">
      <x:c r="A357" s="1" t="n">
        <x:v>346</x:v>
      </x:c>
      <x:c r="B357" s="6" t="n">
        <x:v>56369</x:v>
      </x:c>
      <x:c r="C357" s="7" t="n">
        <x:f>G356</x:f>
        <x:v>45402.13</x:v>
      </x:c>
      <x:c r="D357" s="7" t="n">
        <x:f>IF(A357=$B$7,ROUND(C357+E357,2),MIN($B$8,ROUND(C357+E357,2)))</x:f>
        <x:v>3151.17</x:v>
      </x:c>
      <x:c r="E357" s="7" t="n">
        <x:f>ROUND(C357*$B$6/12,2)</x:f>
        <x:v>230.79</x:v>
      </x:c>
      <x:c r="F357" s="7" t="n">
        <x:f>ROUND(D357-E357,2)</x:f>
        <x:v>2920.38</x:v>
      </x:c>
      <x:c r="G357" s="7" t="n">
        <x:f>ROUND(C357-F357,2)</x:f>
        <x:v>42481.75</x:v>
      </x:c>
      <x:c r="H357" s="7" t="n">
        <x:f>ROUND(D357-E357-F357,2)</x:f>
        <x:v>0</x:v>
      </x:c>
      <x:c r="I357" s="1" t="str">
        <x:v>Projection</x:v>
      </x:c>
    </x:row>
    <x:row r="358" ht="21" customHeight="1">
      <x:c r="A358" s="1" t="n">
        <x:v>347</x:v>
      </x:c>
      <x:c r="B358" s="6" t="n">
        <x:v>56400</x:v>
      </x:c>
      <x:c r="C358" s="7" t="n">
        <x:f>G357</x:f>
        <x:v>42481.75</x:v>
      </x:c>
      <x:c r="D358" s="7" t="n">
        <x:f>IF(A358=$B$7,ROUND(C358+E358,2),MIN($B$8,ROUND(C358+E358,2)))</x:f>
        <x:v>3151.17</x:v>
      </x:c>
      <x:c r="E358" s="7" t="n">
        <x:f>ROUND(C358*$B$6/12,2)</x:f>
        <x:v>215.95</x:v>
      </x:c>
      <x:c r="F358" s="7" t="n">
        <x:f>ROUND(D358-E358,2)</x:f>
        <x:v>2935.22</x:v>
      </x:c>
      <x:c r="G358" s="7" t="n">
        <x:f>ROUND(C358-F358,2)</x:f>
        <x:v>39546.53</x:v>
      </x:c>
      <x:c r="H358" s="7" t="n">
        <x:f>ROUND(D358-E358-F358,2)</x:f>
        <x:v>0</x:v>
      </x:c>
      <x:c r="I358" s="1" t="str">
        <x:v>Projection</x:v>
      </x:c>
    </x:row>
    <x:row r="359" ht="21" customHeight="1">
      <x:c r="A359" s="1" t="n">
        <x:v>348</x:v>
      </x:c>
      <x:c r="B359" s="6" t="n">
        <x:v>56430</x:v>
      </x:c>
      <x:c r="C359" s="7" t="n">
        <x:f>G358</x:f>
        <x:v>39546.53</x:v>
      </x:c>
      <x:c r="D359" s="7" t="n">
        <x:f>IF(A359=$B$7,ROUND(C359+E359,2),MIN($B$8,ROUND(C359+E359,2)))</x:f>
        <x:v>3151.17</x:v>
      </x:c>
      <x:c r="E359" s="7" t="n">
        <x:f>ROUND(C359*$B$6/12,2)</x:f>
        <x:v>201.03</x:v>
      </x:c>
      <x:c r="F359" s="7" t="n">
        <x:f>ROUND(D359-E359,2)</x:f>
        <x:v>2950.14</x:v>
      </x:c>
      <x:c r="G359" s="7" t="n">
        <x:f>ROUND(C359-F359,2)</x:f>
        <x:v>36596.39</x:v>
      </x:c>
      <x:c r="H359" s="7" t="n">
        <x:f>ROUND(D359-E359-F359,2)</x:f>
        <x:v>0</x:v>
      </x:c>
      <x:c r="I359" s="1" t="str">
        <x:v>Projection</x:v>
      </x:c>
    </x:row>
    <x:row r="360" ht="21" customHeight="1">
      <x:c r="A360" s="1" t="n">
        <x:v>349</x:v>
      </x:c>
      <x:c r="B360" s="6" t="n">
        <x:v>56461</x:v>
      </x:c>
      <x:c r="C360" s="7" t="n">
        <x:f>G359</x:f>
        <x:v>36596.39</x:v>
      </x:c>
      <x:c r="D360" s="7" t="n">
        <x:f>IF(A360=$B$7,ROUND(C360+E360,2),MIN($B$8,ROUND(C360+E360,2)))</x:f>
        <x:v>3151.17</x:v>
      </x:c>
      <x:c r="E360" s="7" t="n">
        <x:f>ROUND(C360*$B$6/12,2)</x:f>
        <x:v>186.03</x:v>
      </x:c>
      <x:c r="F360" s="7" t="n">
        <x:f>ROUND(D360-E360,2)</x:f>
        <x:v>2965.14</x:v>
      </x:c>
      <x:c r="G360" s="7" t="n">
        <x:f>ROUND(C360-F360,2)</x:f>
        <x:v>33631.25</x:v>
      </x:c>
      <x:c r="H360" s="7" t="n">
        <x:f>ROUND(D360-E360-F360,2)</x:f>
        <x:v>0</x:v>
      </x:c>
      <x:c r="I360" s="1" t="str">
        <x:v>Projection</x:v>
      </x:c>
    </x:row>
    <x:row r="361" ht="21" customHeight="1">
      <x:c r="A361" s="1" t="n">
        <x:v>350</x:v>
      </x:c>
      <x:c r="B361" s="6" t="n">
        <x:v>56492</x:v>
      </x:c>
      <x:c r="C361" s="7" t="n">
        <x:f>G360</x:f>
        <x:v>33631.25</x:v>
      </x:c>
      <x:c r="D361" s="7" t="n">
        <x:f>IF(A361=$B$7,ROUND(C361+E361,2),MIN($B$8,ROUND(C361+E361,2)))</x:f>
        <x:v>3151.17</x:v>
      </x:c>
      <x:c r="E361" s="7" t="n">
        <x:f>ROUND(C361*$B$6/12,2)</x:f>
        <x:v>170.96</x:v>
      </x:c>
      <x:c r="F361" s="7" t="n">
        <x:f>ROUND(D361-E361,2)</x:f>
        <x:v>2980.21</x:v>
      </x:c>
      <x:c r="G361" s="7" t="n">
        <x:f>ROUND(C361-F361,2)</x:f>
        <x:v>30651.04</x:v>
      </x:c>
      <x:c r="H361" s="7" t="n">
        <x:f>ROUND(D361-E361-F361,2)</x:f>
        <x:v>0</x:v>
      </x:c>
      <x:c r="I361" s="1" t="str">
        <x:v>Projection</x:v>
      </x:c>
    </x:row>
    <x:row r="362" ht="21" customHeight="1">
      <x:c r="A362" s="1" t="n">
        <x:v>351</x:v>
      </x:c>
      <x:c r="B362" s="6" t="n">
        <x:v>56522</x:v>
      </x:c>
      <x:c r="C362" s="7" t="n">
        <x:f>G361</x:f>
        <x:v>30651.04</x:v>
      </x:c>
      <x:c r="D362" s="7" t="n">
        <x:f>IF(A362=$B$7,ROUND(C362+E362,2),MIN($B$8,ROUND(C362+E362,2)))</x:f>
        <x:v>3151.17</x:v>
      </x:c>
      <x:c r="E362" s="7" t="n">
        <x:f>ROUND(C362*$B$6/12,2)</x:f>
        <x:v>155.81</x:v>
      </x:c>
      <x:c r="F362" s="7" t="n">
        <x:f>ROUND(D362-E362,2)</x:f>
        <x:v>2995.36</x:v>
      </x:c>
      <x:c r="G362" s="7" t="n">
        <x:f>ROUND(C362-F362,2)</x:f>
        <x:v>27655.68</x:v>
      </x:c>
      <x:c r="H362" s="7" t="n">
        <x:f>ROUND(D362-E362-F362,2)</x:f>
        <x:v>0</x:v>
      </x:c>
      <x:c r="I362" s="1" t="str">
        <x:v>Projection</x:v>
      </x:c>
    </x:row>
    <x:row r="363" ht="21" customHeight="1">
      <x:c r="A363" s="1" t="n">
        <x:v>352</x:v>
      </x:c>
      <x:c r="B363" s="6" t="n">
        <x:v>56553</x:v>
      </x:c>
      <x:c r="C363" s="7" t="n">
        <x:f>G362</x:f>
        <x:v>27655.68</x:v>
      </x:c>
      <x:c r="D363" s="7" t="n">
        <x:f>IF(A363=$B$7,ROUND(C363+E363,2),MIN($B$8,ROUND(C363+E363,2)))</x:f>
        <x:v>3151.17</x:v>
      </x:c>
      <x:c r="E363" s="7" t="n">
        <x:f>ROUND(C363*$B$6/12,2)</x:f>
        <x:v>140.58</x:v>
      </x:c>
      <x:c r="F363" s="7" t="n">
        <x:f>ROUND(D363-E363,2)</x:f>
        <x:v>3010.59</x:v>
      </x:c>
      <x:c r="G363" s="7" t="n">
        <x:f>ROUND(C363-F363,2)</x:f>
        <x:v>24645.09</x:v>
      </x:c>
      <x:c r="H363" s="7" t="n">
        <x:f>ROUND(D363-E363-F363,2)</x:f>
        <x:v>0</x:v>
      </x:c>
      <x:c r="I363" s="1" t="str">
        <x:v>Projection</x:v>
      </x:c>
    </x:row>
    <x:row r="364" ht="21" customHeight="1">
      <x:c r="A364" s="1" t="n">
        <x:v>353</x:v>
      </x:c>
      <x:c r="B364" s="6" t="n">
        <x:v>56583</x:v>
      </x:c>
      <x:c r="C364" s="7" t="n">
        <x:f>G363</x:f>
        <x:v>24645.09</x:v>
      </x:c>
      <x:c r="D364" s="7" t="n">
        <x:f>IF(A364=$B$7,ROUND(C364+E364,2),MIN($B$8,ROUND(C364+E364,2)))</x:f>
        <x:v>3151.17</x:v>
      </x:c>
      <x:c r="E364" s="7" t="n">
        <x:f>ROUND(C364*$B$6/12,2)</x:f>
        <x:v>125.28</x:v>
      </x:c>
      <x:c r="F364" s="7" t="n">
        <x:f>ROUND(D364-E364,2)</x:f>
        <x:v>3025.89</x:v>
      </x:c>
      <x:c r="G364" s="7" t="n">
        <x:f>ROUND(C364-F364,2)</x:f>
        <x:v>21619.2</x:v>
      </x:c>
      <x:c r="H364" s="7" t="n">
        <x:f>ROUND(D364-E364-F364,2)</x:f>
        <x:v>0</x:v>
      </x:c>
      <x:c r="I364" s="1" t="str">
        <x:v>Projection</x:v>
      </x:c>
    </x:row>
    <x:row r="365" ht="21" customHeight="1">
      <x:c r="A365" s="1" t="n">
        <x:v>354</x:v>
      </x:c>
      <x:c r="B365" s="6" t="n">
        <x:v>56614</x:v>
      </x:c>
      <x:c r="C365" s="7" t="n">
        <x:f>G364</x:f>
        <x:v>21619.2</x:v>
      </x:c>
      <x:c r="D365" s="7" t="n">
        <x:f>IF(A365=$B$7,ROUND(C365+E365,2),MIN($B$8,ROUND(C365+E365,2)))</x:f>
        <x:v>3151.17</x:v>
      </x:c>
      <x:c r="E365" s="7" t="n">
        <x:f>ROUND(C365*$B$6/12,2)</x:f>
        <x:v>109.9</x:v>
      </x:c>
      <x:c r="F365" s="7" t="n">
        <x:f>ROUND(D365-E365,2)</x:f>
        <x:v>3041.27</x:v>
      </x:c>
      <x:c r="G365" s="7" t="n">
        <x:f>ROUND(C365-F365,2)</x:f>
        <x:v>18577.93</x:v>
      </x:c>
      <x:c r="H365" s="7" t="n">
        <x:f>ROUND(D365-E365-F365,2)</x:f>
        <x:v>0</x:v>
      </x:c>
      <x:c r="I365" s="1" t="str">
        <x:v>Projection</x:v>
      </x:c>
    </x:row>
    <x:row r="366" ht="21" customHeight="1">
      <x:c r="A366" s="1" t="n">
        <x:v>355</x:v>
      </x:c>
      <x:c r="B366" s="6" t="n">
        <x:v>56645</x:v>
      </x:c>
      <x:c r="C366" s="7" t="n">
        <x:f>G365</x:f>
        <x:v>18577.93</x:v>
      </x:c>
      <x:c r="D366" s="7" t="n">
        <x:f>IF(A366=$B$7,ROUND(C366+E366,2),MIN($B$8,ROUND(C366+E366,2)))</x:f>
        <x:v>3151.17</x:v>
      </x:c>
      <x:c r="E366" s="7" t="n">
        <x:f>ROUND(C366*$B$6/12,2)</x:f>
        <x:v>94.44</x:v>
      </x:c>
      <x:c r="F366" s="7" t="n">
        <x:f>ROUND(D366-E366,2)</x:f>
        <x:v>3056.73</x:v>
      </x:c>
      <x:c r="G366" s="7" t="n">
        <x:f>ROUND(C366-F366,2)</x:f>
        <x:v>15521.2</x:v>
      </x:c>
      <x:c r="H366" s="7" t="n">
        <x:f>ROUND(D366-E366-F366,2)</x:f>
        <x:v>0</x:v>
      </x:c>
      <x:c r="I366" s="1" t="str">
        <x:v>Projection</x:v>
      </x:c>
    </x:row>
    <x:row r="367" ht="21" customHeight="1">
      <x:c r="A367" s="1" t="n">
        <x:v>356</x:v>
      </x:c>
      <x:c r="B367" s="6" t="n">
        <x:v>56673</x:v>
      </x:c>
      <x:c r="C367" s="7" t="n">
        <x:f>G366</x:f>
        <x:v>15521.2</x:v>
      </x:c>
      <x:c r="D367" s="7" t="n">
        <x:f>IF(A367=$B$7,ROUND(C367+E367,2),MIN($B$8,ROUND(C367+E367,2)))</x:f>
        <x:v>3151.17</x:v>
      </x:c>
      <x:c r="E367" s="7" t="n">
        <x:f>ROUND(C367*$B$6/12,2)</x:f>
        <x:v>78.9</x:v>
      </x:c>
      <x:c r="F367" s="7" t="n">
        <x:f>ROUND(D367-E367,2)</x:f>
        <x:v>3072.27</x:v>
      </x:c>
      <x:c r="G367" s="7" t="n">
        <x:f>ROUND(C367-F367,2)</x:f>
        <x:v>12448.93</x:v>
      </x:c>
      <x:c r="H367" s="7" t="n">
        <x:f>ROUND(D367-E367-F367,2)</x:f>
        <x:v>0</x:v>
      </x:c>
      <x:c r="I367" s="1" t="str">
        <x:v>Projection</x:v>
      </x:c>
    </x:row>
    <x:row r="368" ht="21" customHeight="1">
      <x:c r="A368" s="1" t="n">
        <x:v>357</x:v>
      </x:c>
      <x:c r="B368" s="6" t="n">
        <x:v>56704</x:v>
      </x:c>
      <x:c r="C368" s="7" t="n">
        <x:f>G367</x:f>
        <x:v>12448.93</x:v>
      </x:c>
      <x:c r="D368" s="7" t="n">
        <x:f>IF(A368=$B$7,ROUND(C368+E368,2),MIN($B$8,ROUND(C368+E368,2)))</x:f>
        <x:v>3151.17</x:v>
      </x:c>
      <x:c r="E368" s="7" t="n">
        <x:f>ROUND(C368*$B$6/12,2)</x:f>
        <x:v>63.28</x:v>
      </x:c>
      <x:c r="F368" s="7" t="n">
        <x:f>ROUND(D368-E368,2)</x:f>
        <x:v>3087.89</x:v>
      </x:c>
      <x:c r="G368" s="7" t="n">
        <x:f>ROUND(C368-F368,2)</x:f>
        <x:v>9361.04</x:v>
      </x:c>
      <x:c r="H368" s="7" t="n">
        <x:f>ROUND(D368-E368-F368,2)</x:f>
        <x:v>0</x:v>
      </x:c>
      <x:c r="I368" s="1" t="str">
        <x:v>Projection</x:v>
      </x:c>
    </x:row>
    <x:row r="369" ht="21" customHeight="1">
      <x:c r="A369" s="1" t="n">
        <x:v>358</x:v>
      </x:c>
      <x:c r="B369" s="6" t="n">
        <x:v>56734</x:v>
      </x:c>
      <x:c r="C369" s="7" t="n">
        <x:f>G368</x:f>
        <x:v>9361.04</x:v>
      </x:c>
      <x:c r="D369" s="7" t="n">
        <x:f>IF(A369=$B$7,ROUND(C369+E369,2),MIN($B$8,ROUND(C369+E369,2)))</x:f>
        <x:v>3151.17</x:v>
      </x:c>
      <x:c r="E369" s="7" t="n">
        <x:f>ROUND(C369*$B$6/12,2)</x:f>
        <x:v>47.59</x:v>
      </x:c>
      <x:c r="F369" s="7" t="n">
        <x:f>ROUND(D369-E369,2)</x:f>
        <x:v>3103.58</x:v>
      </x:c>
      <x:c r="G369" s="7" t="n">
        <x:f>ROUND(C369-F369,2)</x:f>
        <x:v>6257.46</x:v>
      </x:c>
      <x:c r="H369" s="7" t="n">
        <x:f>ROUND(D369-E369-F369,2)</x:f>
        <x:v>0</x:v>
      </x:c>
      <x:c r="I369" s="1" t="str">
        <x:v>Projection</x:v>
      </x:c>
    </x:row>
    <x:row r="370" ht="21" customHeight="1">
      <x:c r="A370" s="1" t="n">
        <x:v>359</x:v>
      </x:c>
      <x:c r="B370" s="6" t="n">
        <x:v>56765</x:v>
      </x:c>
      <x:c r="C370" s="7" t="n">
        <x:f>G369</x:f>
        <x:v>6257.46</x:v>
      </x:c>
      <x:c r="D370" s="7" t="n">
        <x:f>IF(A370=$B$7,ROUND(C370+E370,2),MIN($B$8,ROUND(C370+E370,2)))</x:f>
        <x:v>3151.17</x:v>
      </x:c>
      <x:c r="E370" s="7" t="n">
        <x:f>ROUND(C370*$B$6/12,2)</x:f>
        <x:v>31.81</x:v>
      </x:c>
      <x:c r="F370" s="7" t="n">
        <x:f>ROUND(D370-E370,2)</x:f>
        <x:v>3119.36</x:v>
      </x:c>
      <x:c r="G370" s="7" t="n">
        <x:f>ROUND(C370-F370,2)</x:f>
        <x:v>3138.1</x:v>
      </x:c>
      <x:c r="H370" s="7" t="n">
        <x:f>ROUND(D370-E370-F370,2)</x:f>
        <x:v>0</x:v>
      </x:c>
      <x:c r="I370" s="1" t="str">
        <x:v>Projection</x:v>
      </x:c>
    </x:row>
    <x:row r="371" ht="21" customHeight="1">
      <x:c r="A371" s="1" t="n">
        <x:v>360</x:v>
      </x:c>
      <x:c r="B371" s="6" t="n">
        <x:v>56795</x:v>
      </x:c>
      <x:c r="C371" s="7" t="n">
        <x:f>G370</x:f>
        <x:v>3138.1</x:v>
      </x:c>
      <x:c r="D371" s="7" t="n">
        <x:f>IF(A371=$B$7,ROUND(C371+E371,2),MIN($B$8,ROUND(C371+E371,2)))</x:f>
        <x:v>3154.05</x:v>
      </x:c>
      <x:c r="E371" s="7" t="n">
        <x:f>ROUND(C371*$B$6/12,2)</x:f>
        <x:v>15.95</x:v>
      </x:c>
      <x:c r="F371" s="7" t="n">
        <x:f>ROUND(D371-E371,2)</x:f>
        <x:v>3138.1</x:v>
      </x:c>
      <x:c r="G371" s="7" t="n">
        <x:f>ROUND(C371-F371,2)</x:f>
        <x:v>0</x:v>
      </x:c>
      <x:c r="H371" s="7" t="n">
        <x:f>ROUND(D371-E371-F371,2)</x:f>
        <x:v>0</x:v>
      </x:c>
      <x:c r="I371" s="1" t="str">
        <x:v>Projection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2" t="str">
        <x:v>Rental mortgage — illustrative schedule</x:v>
      </x:c>
      <x:c r="B2" s="2"/>
      <x:c r="C2" s="2"/>
      <x:c r="D2" s="2"/>
      <x:c r="E2" s="2"/>
      <x:c r="F2" s="2"/>
      <x:c r="G2" s="2"/>
      <x:c r="H2" s="2"/>
      <x:c r="I2" s="2"/>
    </x:row>
    <x:row r="3" ht="21" customHeight="1">
      <x:c r="A3" s="1" t="str">
        <x:v>SYNTHETIC | Monthly rate = annual rate / 12; rounded monthly interest; final payment adjusted.</x:v>
      </x:c>
      <x:c r="B3" s="1"/>
      <x:c r="C3" s="1"/>
      <x:c r="D3" s="1"/>
      <x:c r="E3" s="1"/>
      <x:c r="F3" s="1"/>
      <x:c r="G3" s="1"/>
      <x:c r="H3" s="1"/>
      <x:c r="I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1" customHeight="1">
      <x:c r="A5" s="1" t="str">
        <x:v>Principal AUD</x:v>
      </x:c>
      <x:c r="B5" s="7" t="n">
        <x:v>410000</x:v>
      </x:c>
      <x:c r="C5" s="1"/>
      <x:c r="D5" s="1" t="str">
        <x:v>First 3 rows: fixture quarter payments.</x:v>
      </x:c>
      <x:c r="E5" s="1"/>
      <x:c r="F5" s="1"/>
      <x:c r="G5" s="1"/>
      <x:c r="H5" s="1"/>
      <x:c r="I5" s="1"/>
    </x:row>
    <x:row r="6" ht="21" customHeight="1">
      <x:c r="A6" s="1" t="str">
        <x:v>Annual rate</x:v>
      </x:c>
      <x:c r="B6" s="8" t="n">
        <x:v>0.064</x:v>
      </x:c>
      <x:c r="C6" s="1"/>
      <x:c r="D6" s="1" t="str">
        <x:v>Later rows: illustrative projections.</x:v>
      </x:c>
      <x:c r="E6" s="1"/>
      <x:c r="F6" s="1"/>
      <x:c r="G6" s="1"/>
      <x:c r="H6" s="1"/>
      <x:c r="I6" s="1"/>
    </x:row>
    <x:row r="7" ht="21" customHeight="1">
      <x:c r="A7" s="1" t="str">
        <x:v>Term in months</x:v>
      </x:c>
      <x:c r="B7" s="1" t="n">
        <x:v>300</x:v>
      </x:c>
      <x:c r="C7" s="1"/>
      <x:c r="D7" s="1" t="str">
        <x:v>No offset, redraw, fees or daily-interest calculation.</x:v>
      </x:c>
      <x:c r="E7" s="1"/>
      <x:c r="F7" s="1"/>
      <x:c r="G7" s="1"/>
      <x:c r="H7" s="1"/>
      <x:c r="I7" s="1"/>
    </x:row>
    <x:row r="8" ht="21" customHeight="1">
      <x:c r="A8" s="1" t="str">
        <x:v>Monthly payment AUD</x:v>
      </x:c>
      <x:c r="B8" s="7" t="n">
        <x:f>ROUND(B5*(B6/12)/(1-(1+B6/12)^(-B7)),2)</x:f>
        <x:v>2742.78</x:v>
      </x:c>
      <x:c r="C8" s="1"/>
      <x:c r="D8" s="1"/>
      <x:c r="E8" s="1"/>
      <x:c r="F8" s="1"/>
      <x:c r="G8" s="1"/>
      <x:c r="H8" s="1"/>
      <x:c r="I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</x:row>
    <x:row r="11" ht="30" customHeight="1">
      <x:c r="A11" s="5" t="str">
        <x:v>Period</x:v>
      </x:c>
      <x:c r="B11" s="5" t="str">
        <x:v>Payment date</x:v>
      </x:c>
      <x:c r="C11" s="5" t="str">
        <x:v>Opening AUD</x:v>
      </x:c>
      <x:c r="D11" s="5" t="str">
        <x:v>Payment AUD</x:v>
      </x:c>
      <x:c r="E11" s="5" t="str">
        <x:v>Interest AUD</x:v>
      </x:c>
      <x:c r="F11" s="5" t="str">
        <x:v>Principal AUD</x:v>
      </x:c>
      <x:c r="G11" s="5" t="str">
        <x:v>Closing AUD</x:v>
      </x:c>
      <x:c r="H11" s="5" t="str">
        <x:v>Row check</x:v>
      </x:c>
      <x:c r="I11" s="5" t="str">
        <x:v>Status</x:v>
      </x:c>
    </x:row>
    <x:row r="12" ht="21" customHeight="1">
      <x:c r="A12" s="1" t="n">
        <x:v>1</x:v>
      </x:c>
      <x:c r="B12" s="6" t="n">
        <x:v>45869</x:v>
      </x:c>
      <x:c r="C12" s="7" t="n">
        <x:f>$B$5</x:f>
        <x:v>410000</x:v>
      </x:c>
      <x:c r="D12" s="7" t="n">
        <x:f>IF(A12=$B$7,ROUND(C12+E12,2),MIN($B$8,ROUND(C12+E12,2)))</x:f>
        <x:v>2742.78</x:v>
      </x:c>
      <x:c r="E12" s="7" t="n">
        <x:f>ROUND(C12*$B$6/12,2)</x:f>
        <x:v>2186.67</x:v>
      </x:c>
      <x:c r="F12" s="7" t="n">
        <x:f>ROUND(D12-E12,2)</x:f>
        <x:v>556.11</x:v>
      </x:c>
      <x:c r="G12" s="7" t="n">
        <x:f>ROUND(C12-F12,2)</x:f>
        <x:v>409443.89</x:v>
      </x:c>
      <x:c r="H12" s="7" t="n">
        <x:f>ROUND(D12-E12-F12,2)</x:f>
        <x:v>0</x:v>
      </x:c>
      <x:c r="I12" s="1" t="str">
        <x:v>Quarter actual</x:v>
      </x:c>
    </x:row>
    <x:row r="13" ht="21" customHeight="1">
      <x:c r="A13" s="1" t="n">
        <x:v>2</x:v>
      </x:c>
      <x:c r="B13" s="6" t="n">
        <x:v>45900</x:v>
      </x:c>
      <x:c r="C13" s="7" t="n">
        <x:f>G12</x:f>
        <x:v>409443.89</x:v>
      </x:c>
      <x:c r="D13" s="7" t="n">
        <x:f>IF(A13=$B$7,ROUND(C13+E13,2),MIN($B$8,ROUND(C13+E13,2)))</x:f>
        <x:v>2742.78</x:v>
      </x:c>
      <x:c r="E13" s="7" t="n">
        <x:f>ROUND(C13*$B$6/12,2)</x:f>
        <x:v>2183.7</x:v>
      </x:c>
      <x:c r="F13" s="7" t="n">
        <x:f>ROUND(D13-E13,2)</x:f>
        <x:v>559.08</x:v>
      </x:c>
      <x:c r="G13" s="7" t="n">
        <x:f>ROUND(C13-F13,2)</x:f>
        <x:v>408884.81</x:v>
      </x:c>
      <x:c r="H13" s="7" t="n">
        <x:f>ROUND(D13-E13-F13,2)</x:f>
        <x:v>0</x:v>
      </x:c>
      <x:c r="I13" s="1" t="str">
        <x:v>Quarter actual</x:v>
      </x:c>
    </x:row>
    <x:row r="14" ht="21" customHeight="1">
      <x:c r="A14" s="1" t="n">
        <x:v>3</x:v>
      </x:c>
      <x:c r="B14" s="6" t="n">
        <x:v>45930</x:v>
      </x:c>
      <x:c r="C14" s="7" t="n">
        <x:f>G13</x:f>
        <x:v>408884.81</x:v>
      </x:c>
      <x:c r="D14" s="7" t="n">
        <x:f>IF(A14=$B$7,ROUND(C14+E14,2),MIN($B$8,ROUND(C14+E14,2)))</x:f>
        <x:v>2742.78</x:v>
      </x:c>
      <x:c r="E14" s="7" t="n">
        <x:f>ROUND(C14*$B$6/12,2)</x:f>
        <x:v>2180.72</x:v>
      </x:c>
      <x:c r="F14" s="7" t="n">
        <x:f>ROUND(D14-E14,2)</x:f>
        <x:v>562.06</x:v>
      </x:c>
      <x:c r="G14" s="7" t="n">
        <x:f>ROUND(C14-F14,2)</x:f>
        <x:v>408322.75</x:v>
      </x:c>
      <x:c r="H14" s="7" t="n">
        <x:f>ROUND(D14-E14-F14,2)</x:f>
        <x:v>0</x:v>
      </x:c>
      <x:c r="I14" s="1" t="str">
        <x:v>Quarter actual</x:v>
      </x:c>
    </x:row>
    <x:row r="15" ht="21" customHeight="1">
      <x:c r="A15" s="1" t="n">
        <x:v>4</x:v>
      </x:c>
      <x:c r="B15" s="6" t="n">
        <x:v>45961</x:v>
      </x:c>
      <x:c r="C15" s="7" t="n">
        <x:f>G14</x:f>
        <x:v>408322.75</x:v>
      </x:c>
      <x:c r="D15" s="7" t="n">
        <x:f>IF(A15=$B$7,ROUND(C15+E15,2),MIN($B$8,ROUND(C15+E15,2)))</x:f>
        <x:v>2742.78</x:v>
      </x:c>
      <x:c r="E15" s="7" t="n">
        <x:f>ROUND(C15*$B$6/12,2)</x:f>
        <x:v>2177.72</x:v>
      </x:c>
      <x:c r="F15" s="7" t="n">
        <x:f>ROUND(D15-E15,2)</x:f>
        <x:v>565.06</x:v>
      </x:c>
      <x:c r="G15" s="7" t="n">
        <x:f>ROUND(C15-F15,2)</x:f>
        <x:v>407757.69</x:v>
      </x:c>
      <x:c r="H15" s="7" t="n">
        <x:f>ROUND(D15-E15-F15,2)</x:f>
        <x:v>0</x:v>
      </x:c>
      <x:c r="I15" s="1" t="str">
        <x:v>Projection</x:v>
      </x:c>
    </x:row>
    <x:row r="16" ht="21" customHeight="1">
      <x:c r="A16" s="1" t="n">
        <x:v>5</x:v>
      </x:c>
      <x:c r="B16" s="6" t="n">
        <x:v>45991</x:v>
      </x:c>
      <x:c r="C16" s="7" t="n">
        <x:f>G15</x:f>
        <x:v>407757.69</x:v>
      </x:c>
      <x:c r="D16" s="7" t="n">
        <x:f>IF(A16=$B$7,ROUND(C16+E16,2),MIN($B$8,ROUND(C16+E16,2)))</x:f>
        <x:v>2742.78</x:v>
      </x:c>
      <x:c r="E16" s="7" t="n">
        <x:f>ROUND(C16*$B$6/12,2)</x:f>
        <x:v>2174.71</x:v>
      </x:c>
      <x:c r="F16" s="7" t="n">
        <x:f>ROUND(D16-E16,2)</x:f>
        <x:v>568.07</x:v>
      </x:c>
      <x:c r="G16" s="7" t="n">
        <x:f>ROUND(C16-F16,2)</x:f>
        <x:v>407189.62</x:v>
      </x:c>
      <x:c r="H16" s="7" t="n">
        <x:f>ROUND(D16-E16-F16,2)</x:f>
        <x:v>0</x:v>
      </x:c>
      <x:c r="I16" s="1" t="str">
        <x:v>Projection</x:v>
      </x:c>
    </x:row>
    <x:row r="17" ht="21" customHeight="1">
      <x:c r="A17" s="1" t="n">
        <x:v>6</x:v>
      </x:c>
      <x:c r="B17" s="6" t="n">
        <x:v>46022</x:v>
      </x:c>
      <x:c r="C17" s="7" t="n">
        <x:f>G16</x:f>
        <x:v>407189.62</x:v>
      </x:c>
      <x:c r="D17" s="7" t="n">
        <x:f>IF(A17=$B$7,ROUND(C17+E17,2),MIN($B$8,ROUND(C17+E17,2)))</x:f>
        <x:v>2742.78</x:v>
      </x:c>
      <x:c r="E17" s="7" t="n">
        <x:f>ROUND(C17*$B$6/12,2)</x:f>
        <x:v>2171.68</x:v>
      </x:c>
      <x:c r="F17" s="7" t="n">
        <x:f>ROUND(D17-E17,2)</x:f>
        <x:v>571.1</x:v>
      </x:c>
      <x:c r="G17" s="7" t="n">
        <x:f>ROUND(C17-F17,2)</x:f>
        <x:v>406618.52</x:v>
      </x:c>
      <x:c r="H17" s="7" t="n">
        <x:f>ROUND(D17-E17-F17,2)</x:f>
        <x:v>0</x:v>
      </x:c>
      <x:c r="I17" s="1" t="str">
        <x:v>Projection</x:v>
      </x:c>
    </x:row>
    <x:row r="18" ht="21" customHeight="1">
      <x:c r="A18" s="1" t="n">
        <x:v>7</x:v>
      </x:c>
      <x:c r="B18" s="6" t="n">
        <x:v>46053</x:v>
      </x:c>
      <x:c r="C18" s="7" t="n">
        <x:f>G17</x:f>
        <x:v>406618.52</x:v>
      </x:c>
      <x:c r="D18" s="7" t="n">
        <x:f>IF(A18=$B$7,ROUND(C18+E18,2),MIN($B$8,ROUND(C18+E18,2)))</x:f>
        <x:v>2742.78</x:v>
      </x:c>
      <x:c r="E18" s="7" t="n">
        <x:f>ROUND(C18*$B$6/12,2)</x:f>
        <x:v>2168.63</x:v>
      </x:c>
      <x:c r="F18" s="7" t="n">
        <x:f>ROUND(D18-E18,2)</x:f>
        <x:v>574.15</x:v>
      </x:c>
      <x:c r="G18" s="7" t="n">
        <x:f>ROUND(C18-F18,2)</x:f>
        <x:v>406044.37</x:v>
      </x:c>
      <x:c r="H18" s="7" t="n">
        <x:f>ROUND(D18-E18-F18,2)</x:f>
        <x:v>0</x:v>
      </x:c>
      <x:c r="I18" s="1" t="str">
        <x:v>Projection</x:v>
      </x:c>
    </x:row>
    <x:row r="19" ht="21" customHeight="1">
      <x:c r="A19" s="1" t="n">
        <x:v>8</x:v>
      </x:c>
      <x:c r="B19" s="6" t="n">
        <x:v>46081</x:v>
      </x:c>
      <x:c r="C19" s="7" t="n">
        <x:f>G18</x:f>
        <x:v>406044.37</x:v>
      </x:c>
      <x:c r="D19" s="7" t="n">
        <x:f>IF(A19=$B$7,ROUND(C19+E19,2),MIN($B$8,ROUND(C19+E19,2)))</x:f>
        <x:v>2742.78</x:v>
      </x:c>
      <x:c r="E19" s="7" t="n">
        <x:f>ROUND(C19*$B$6/12,2)</x:f>
        <x:v>2165.57</x:v>
      </x:c>
      <x:c r="F19" s="7" t="n">
        <x:f>ROUND(D19-E19,2)</x:f>
        <x:v>577.21</x:v>
      </x:c>
      <x:c r="G19" s="7" t="n">
        <x:f>ROUND(C19-F19,2)</x:f>
        <x:v>405467.16</x:v>
      </x:c>
      <x:c r="H19" s="7" t="n">
        <x:f>ROUND(D19-E19-F19,2)</x:f>
        <x:v>0</x:v>
      </x:c>
      <x:c r="I19" s="1" t="str">
        <x:v>Projection</x:v>
      </x:c>
    </x:row>
    <x:row r="20" ht="21" customHeight="1">
      <x:c r="A20" s="1" t="n">
        <x:v>9</x:v>
      </x:c>
      <x:c r="B20" s="6" t="n">
        <x:v>46112</x:v>
      </x:c>
      <x:c r="C20" s="7" t="n">
        <x:f>G19</x:f>
        <x:v>405467.16</x:v>
      </x:c>
      <x:c r="D20" s="7" t="n">
        <x:f>IF(A20=$B$7,ROUND(C20+E20,2),MIN($B$8,ROUND(C20+E20,2)))</x:f>
        <x:v>2742.78</x:v>
      </x:c>
      <x:c r="E20" s="7" t="n">
        <x:f>ROUND(C20*$B$6/12,2)</x:f>
        <x:v>2162.49</x:v>
      </x:c>
      <x:c r="F20" s="7" t="n">
        <x:f>ROUND(D20-E20,2)</x:f>
        <x:v>580.29</x:v>
      </x:c>
      <x:c r="G20" s="7" t="n">
        <x:f>ROUND(C20-F20,2)</x:f>
        <x:v>404886.87</x:v>
      </x:c>
      <x:c r="H20" s="7" t="n">
        <x:f>ROUND(D20-E20-F20,2)</x:f>
        <x:v>0</x:v>
      </x:c>
      <x:c r="I20" s="1" t="str">
        <x:v>Projection</x:v>
      </x:c>
    </x:row>
    <x:row r="21" ht="21" customHeight="1">
      <x:c r="A21" s="1" t="n">
        <x:v>10</x:v>
      </x:c>
      <x:c r="B21" s="6" t="n">
        <x:v>46142</x:v>
      </x:c>
      <x:c r="C21" s="7" t="n">
        <x:f>G20</x:f>
        <x:v>404886.87</x:v>
      </x:c>
      <x:c r="D21" s="7" t="n">
        <x:f>IF(A21=$B$7,ROUND(C21+E21,2),MIN($B$8,ROUND(C21+E21,2)))</x:f>
        <x:v>2742.78</x:v>
      </x:c>
      <x:c r="E21" s="7" t="n">
        <x:f>ROUND(C21*$B$6/12,2)</x:f>
        <x:v>2159.4</x:v>
      </x:c>
      <x:c r="F21" s="7" t="n">
        <x:f>ROUND(D21-E21,2)</x:f>
        <x:v>583.38</x:v>
      </x:c>
      <x:c r="G21" s="7" t="n">
        <x:f>ROUND(C21-F21,2)</x:f>
        <x:v>404303.49</x:v>
      </x:c>
      <x:c r="H21" s="7" t="n">
        <x:f>ROUND(D21-E21-F21,2)</x:f>
        <x:v>0</x:v>
      </x:c>
      <x:c r="I21" s="1" t="str">
        <x:v>Projection</x:v>
      </x:c>
    </x:row>
    <x:row r="22" ht="21" customHeight="1">
      <x:c r="A22" s="1" t="n">
        <x:v>11</x:v>
      </x:c>
      <x:c r="B22" s="6" t="n">
        <x:v>46173</x:v>
      </x:c>
      <x:c r="C22" s="7" t="n">
        <x:f>G21</x:f>
        <x:v>404303.49</x:v>
      </x:c>
      <x:c r="D22" s="7" t="n">
        <x:f>IF(A22=$B$7,ROUND(C22+E22,2),MIN($B$8,ROUND(C22+E22,2)))</x:f>
        <x:v>2742.78</x:v>
      </x:c>
      <x:c r="E22" s="7" t="n">
        <x:f>ROUND(C22*$B$6/12,2)</x:f>
        <x:v>2156.29</x:v>
      </x:c>
      <x:c r="F22" s="7" t="n">
        <x:f>ROUND(D22-E22,2)</x:f>
        <x:v>586.49</x:v>
      </x:c>
      <x:c r="G22" s="7" t="n">
        <x:f>ROUND(C22-F22,2)</x:f>
        <x:v>403717</x:v>
      </x:c>
      <x:c r="H22" s="7" t="n">
        <x:f>ROUND(D22-E22-F22,2)</x:f>
        <x:v>0</x:v>
      </x:c>
      <x:c r="I22" s="1" t="str">
        <x:v>Projection</x:v>
      </x:c>
    </x:row>
    <x:row r="23" ht="21" customHeight="1">
      <x:c r="A23" s="1" t="n">
        <x:v>12</x:v>
      </x:c>
      <x:c r="B23" s="6" t="n">
        <x:v>46203</x:v>
      </x:c>
      <x:c r="C23" s="7" t="n">
        <x:f>G22</x:f>
        <x:v>403717</x:v>
      </x:c>
      <x:c r="D23" s="7" t="n">
        <x:f>IF(A23=$B$7,ROUND(C23+E23,2),MIN($B$8,ROUND(C23+E23,2)))</x:f>
        <x:v>2742.78</x:v>
      </x:c>
      <x:c r="E23" s="7" t="n">
        <x:f>ROUND(C23*$B$6/12,2)</x:f>
        <x:v>2153.16</x:v>
      </x:c>
      <x:c r="F23" s="7" t="n">
        <x:f>ROUND(D23-E23,2)</x:f>
        <x:v>589.62</x:v>
      </x:c>
      <x:c r="G23" s="7" t="n">
        <x:f>ROUND(C23-F23,2)</x:f>
        <x:v>403127.38</x:v>
      </x:c>
      <x:c r="H23" s="7" t="n">
        <x:f>ROUND(D23-E23-F23,2)</x:f>
        <x:v>0</x:v>
      </x:c>
      <x:c r="I23" s="1" t="str">
        <x:v>Projection</x:v>
      </x:c>
    </x:row>
    <x:row r="24" ht="21" customHeight="1">
      <x:c r="A24" s="1" t="n">
        <x:v>13</x:v>
      </x:c>
      <x:c r="B24" s="6" t="n">
        <x:v>46234</x:v>
      </x:c>
      <x:c r="C24" s="7" t="n">
        <x:f>G23</x:f>
        <x:v>403127.38</x:v>
      </x:c>
      <x:c r="D24" s="7" t="n">
        <x:f>IF(A24=$B$7,ROUND(C24+E24,2),MIN($B$8,ROUND(C24+E24,2)))</x:f>
        <x:v>2742.78</x:v>
      </x:c>
      <x:c r="E24" s="7" t="n">
        <x:f>ROUND(C24*$B$6/12,2)</x:f>
        <x:v>2150.01</x:v>
      </x:c>
      <x:c r="F24" s="7" t="n">
        <x:f>ROUND(D24-E24,2)</x:f>
        <x:v>592.77</x:v>
      </x:c>
      <x:c r="G24" s="7" t="n">
        <x:f>ROUND(C24-F24,2)</x:f>
        <x:v>402534.61</x:v>
      </x:c>
      <x:c r="H24" s="7" t="n">
        <x:f>ROUND(D24-E24-F24,2)</x:f>
        <x:v>0</x:v>
      </x:c>
      <x:c r="I24" s="1" t="str">
        <x:v>Projection</x:v>
      </x:c>
    </x:row>
    <x:row r="25" ht="21" customHeight="1">
      <x:c r="A25" s="1" t="n">
        <x:v>14</x:v>
      </x:c>
      <x:c r="B25" s="6" t="n">
        <x:v>46265</x:v>
      </x:c>
      <x:c r="C25" s="7" t="n">
        <x:f>G24</x:f>
        <x:v>402534.61</x:v>
      </x:c>
      <x:c r="D25" s="7" t="n">
        <x:f>IF(A25=$B$7,ROUND(C25+E25,2),MIN($B$8,ROUND(C25+E25,2)))</x:f>
        <x:v>2742.78</x:v>
      </x:c>
      <x:c r="E25" s="7" t="n">
        <x:f>ROUND(C25*$B$6/12,2)</x:f>
        <x:v>2146.85</x:v>
      </x:c>
      <x:c r="F25" s="7" t="n">
        <x:f>ROUND(D25-E25,2)</x:f>
        <x:v>595.93</x:v>
      </x:c>
      <x:c r="G25" s="7" t="n">
        <x:f>ROUND(C25-F25,2)</x:f>
        <x:v>401938.68</x:v>
      </x:c>
      <x:c r="H25" s="7" t="n">
        <x:f>ROUND(D25-E25-F25,2)</x:f>
        <x:v>0</x:v>
      </x:c>
      <x:c r="I25" s="1" t="str">
        <x:v>Projection</x:v>
      </x:c>
    </x:row>
    <x:row r="26" ht="21" customHeight="1">
      <x:c r="A26" s="1" t="n">
        <x:v>15</x:v>
      </x:c>
      <x:c r="B26" s="6" t="n">
        <x:v>46295</x:v>
      </x:c>
      <x:c r="C26" s="7" t="n">
        <x:f>G25</x:f>
        <x:v>401938.68</x:v>
      </x:c>
      <x:c r="D26" s="7" t="n">
        <x:f>IF(A26=$B$7,ROUND(C26+E26,2),MIN($B$8,ROUND(C26+E26,2)))</x:f>
        <x:v>2742.78</x:v>
      </x:c>
      <x:c r="E26" s="7" t="n">
        <x:f>ROUND(C26*$B$6/12,2)</x:f>
        <x:v>2143.67</x:v>
      </x:c>
      <x:c r="F26" s="7" t="n">
        <x:f>ROUND(D26-E26,2)</x:f>
        <x:v>599.11</x:v>
      </x:c>
      <x:c r="G26" s="7" t="n">
        <x:f>ROUND(C26-F26,2)</x:f>
        <x:v>401339.57</x:v>
      </x:c>
      <x:c r="H26" s="7" t="n">
        <x:f>ROUND(D26-E26-F26,2)</x:f>
        <x:v>0</x:v>
      </x:c>
      <x:c r="I26" s="1" t="str">
        <x:v>Projection</x:v>
      </x:c>
    </x:row>
    <x:row r="27" ht="21" customHeight="1">
      <x:c r="A27" s="1" t="n">
        <x:v>16</x:v>
      </x:c>
      <x:c r="B27" s="6" t="n">
        <x:v>46326</x:v>
      </x:c>
      <x:c r="C27" s="7" t="n">
        <x:f>G26</x:f>
        <x:v>401339.57</x:v>
      </x:c>
      <x:c r="D27" s="7" t="n">
        <x:f>IF(A27=$B$7,ROUND(C27+E27,2),MIN($B$8,ROUND(C27+E27,2)))</x:f>
        <x:v>2742.78</x:v>
      </x:c>
      <x:c r="E27" s="7" t="n">
        <x:f>ROUND(C27*$B$6/12,2)</x:f>
        <x:v>2140.48</x:v>
      </x:c>
      <x:c r="F27" s="7" t="n">
        <x:f>ROUND(D27-E27,2)</x:f>
        <x:v>602.3</x:v>
      </x:c>
      <x:c r="G27" s="7" t="n">
        <x:f>ROUND(C27-F27,2)</x:f>
        <x:v>400737.27</x:v>
      </x:c>
      <x:c r="H27" s="7" t="n">
        <x:f>ROUND(D27-E27-F27,2)</x:f>
        <x:v>0</x:v>
      </x:c>
      <x:c r="I27" s="1" t="str">
        <x:v>Projection</x:v>
      </x:c>
    </x:row>
    <x:row r="28" ht="21" customHeight="1">
      <x:c r="A28" s="1" t="n">
        <x:v>17</x:v>
      </x:c>
      <x:c r="B28" s="6" t="n">
        <x:v>46356</x:v>
      </x:c>
      <x:c r="C28" s="7" t="n">
        <x:f>G27</x:f>
        <x:v>400737.27</x:v>
      </x:c>
      <x:c r="D28" s="7" t="n">
        <x:f>IF(A28=$B$7,ROUND(C28+E28,2),MIN($B$8,ROUND(C28+E28,2)))</x:f>
        <x:v>2742.78</x:v>
      </x:c>
      <x:c r="E28" s="7" t="n">
        <x:f>ROUND(C28*$B$6/12,2)</x:f>
        <x:v>2137.27</x:v>
      </x:c>
      <x:c r="F28" s="7" t="n">
        <x:f>ROUND(D28-E28,2)</x:f>
        <x:v>605.51</x:v>
      </x:c>
      <x:c r="G28" s="7" t="n">
        <x:f>ROUND(C28-F28,2)</x:f>
        <x:v>400131.76</x:v>
      </x:c>
      <x:c r="H28" s="7" t="n">
        <x:f>ROUND(D28-E28-F28,2)</x:f>
        <x:v>0</x:v>
      </x:c>
      <x:c r="I28" s="1" t="str">
        <x:v>Projection</x:v>
      </x:c>
    </x:row>
    <x:row r="29" ht="21" customHeight="1">
      <x:c r="A29" s="1" t="n">
        <x:v>18</x:v>
      </x:c>
      <x:c r="B29" s="6" t="n">
        <x:v>46387</x:v>
      </x:c>
      <x:c r="C29" s="7" t="n">
        <x:f>G28</x:f>
        <x:v>400131.76</x:v>
      </x:c>
      <x:c r="D29" s="7" t="n">
        <x:f>IF(A29=$B$7,ROUND(C29+E29,2),MIN($B$8,ROUND(C29+E29,2)))</x:f>
        <x:v>2742.78</x:v>
      </x:c>
      <x:c r="E29" s="7" t="n">
        <x:f>ROUND(C29*$B$6/12,2)</x:f>
        <x:v>2134.04</x:v>
      </x:c>
      <x:c r="F29" s="7" t="n">
        <x:f>ROUND(D29-E29,2)</x:f>
        <x:v>608.74</x:v>
      </x:c>
      <x:c r="G29" s="7" t="n">
        <x:f>ROUND(C29-F29,2)</x:f>
        <x:v>399523.02</x:v>
      </x:c>
      <x:c r="H29" s="7" t="n">
        <x:f>ROUND(D29-E29-F29,2)</x:f>
        <x:v>0</x:v>
      </x:c>
      <x:c r="I29" s="1" t="str">
        <x:v>Projection</x:v>
      </x:c>
    </x:row>
    <x:row r="30" ht="21" customHeight="1">
      <x:c r="A30" s="1" t="n">
        <x:v>19</x:v>
      </x:c>
      <x:c r="B30" s="6" t="n">
        <x:v>46418</x:v>
      </x:c>
      <x:c r="C30" s="7" t="n">
        <x:f>G29</x:f>
        <x:v>399523.02</x:v>
      </x:c>
      <x:c r="D30" s="7" t="n">
        <x:f>IF(A30=$B$7,ROUND(C30+E30,2),MIN($B$8,ROUND(C30+E30,2)))</x:f>
        <x:v>2742.78</x:v>
      </x:c>
      <x:c r="E30" s="7" t="n">
        <x:f>ROUND(C30*$B$6/12,2)</x:f>
        <x:v>2130.79</x:v>
      </x:c>
      <x:c r="F30" s="7" t="n">
        <x:f>ROUND(D30-E30,2)</x:f>
        <x:v>611.99</x:v>
      </x:c>
      <x:c r="G30" s="7" t="n">
        <x:f>ROUND(C30-F30,2)</x:f>
        <x:v>398911.03</x:v>
      </x:c>
      <x:c r="H30" s="7" t="n">
        <x:f>ROUND(D30-E30-F30,2)</x:f>
        <x:v>0</x:v>
      </x:c>
      <x:c r="I30" s="1" t="str">
        <x:v>Projection</x:v>
      </x:c>
    </x:row>
    <x:row r="31" ht="21" customHeight="1">
      <x:c r="A31" s="1" t="n">
        <x:v>20</x:v>
      </x:c>
      <x:c r="B31" s="6" t="n">
        <x:v>46446</x:v>
      </x:c>
      <x:c r="C31" s="7" t="n">
        <x:f>G30</x:f>
        <x:v>398911.03</x:v>
      </x:c>
      <x:c r="D31" s="7" t="n">
        <x:f>IF(A31=$B$7,ROUND(C31+E31,2),MIN($B$8,ROUND(C31+E31,2)))</x:f>
        <x:v>2742.78</x:v>
      </x:c>
      <x:c r="E31" s="7" t="n">
        <x:f>ROUND(C31*$B$6/12,2)</x:f>
        <x:v>2127.53</x:v>
      </x:c>
      <x:c r="F31" s="7" t="n">
        <x:f>ROUND(D31-E31,2)</x:f>
        <x:v>615.25</x:v>
      </x:c>
      <x:c r="G31" s="7" t="n">
        <x:f>ROUND(C31-F31,2)</x:f>
        <x:v>398295.78</x:v>
      </x:c>
      <x:c r="H31" s="7" t="n">
        <x:f>ROUND(D31-E31-F31,2)</x:f>
        <x:v>0</x:v>
      </x:c>
      <x:c r="I31" s="1" t="str">
        <x:v>Projection</x:v>
      </x:c>
    </x:row>
    <x:row r="32" ht="21" customHeight="1">
      <x:c r="A32" s="1" t="n">
        <x:v>21</x:v>
      </x:c>
      <x:c r="B32" s="6" t="n">
        <x:v>46477</x:v>
      </x:c>
      <x:c r="C32" s="7" t="n">
        <x:f>G31</x:f>
        <x:v>398295.78</x:v>
      </x:c>
      <x:c r="D32" s="7" t="n">
        <x:f>IF(A32=$B$7,ROUND(C32+E32,2),MIN($B$8,ROUND(C32+E32,2)))</x:f>
        <x:v>2742.78</x:v>
      </x:c>
      <x:c r="E32" s="7" t="n">
        <x:f>ROUND(C32*$B$6/12,2)</x:f>
        <x:v>2124.24</x:v>
      </x:c>
      <x:c r="F32" s="7" t="n">
        <x:f>ROUND(D32-E32,2)</x:f>
        <x:v>618.54</x:v>
      </x:c>
      <x:c r="G32" s="7" t="n">
        <x:f>ROUND(C32-F32,2)</x:f>
        <x:v>397677.24</x:v>
      </x:c>
      <x:c r="H32" s="7" t="n">
        <x:f>ROUND(D32-E32-F32,2)</x:f>
        <x:v>0</x:v>
      </x:c>
      <x:c r="I32" s="1" t="str">
        <x:v>Projection</x:v>
      </x:c>
    </x:row>
    <x:row r="33" ht="21" customHeight="1">
      <x:c r="A33" s="1" t="n">
        <x:v>22</x:v>
      </x:c>
      <x:c r="B33" s="6" t="n">
        <x:v>46507</x:v>
      </x:c>
      <x:c r="C33" s="7" t="n">
        <x:f>G32</x:f>
        <x:v>397677.24</x:v>
      </x:c>
      <x:c r="D33" s="7" t="n">
        <x:f>IF(A33=$B$7,ROUND(C33+E33,2),MIN($B$8,ROUND(C33+E33,2)))</x:f>
        <x:v>2742.78</x:v>
      </x:c>
      <x:c r="E33" s="7" t="n">
        <x:f>ROUND(C33*$B$6/12,2)</x:f>
        <x:v>2120.95</x:v>
      </x:c>
      <x:c r="F33" s="7" t="n">
        <x:f>ROUND(D33-E33,2)</x:f>
        <x:v>621.83</x:v>
      </x:c>
      <x:c r="G33" s="7" t="n">
        <x:f>ROUND(C33-F33,2)</x:f>
        <x:v>397055.41</x:v>
      </x:c>
      <x:c r="H33" s="7" t="n">
        <x:f>ROUND(D33-E33-F33,2)</x:f>
        <x:v>0</x:v>
      </x:c>
      <x:c r="I33" s="1" t="str">
        <x:v>Projection</x:v>
      </x:c>
    </x:row>
    <x:row r="34" ht="21" customHeight="1">
      <x:c r="A34" s="1" t="n">
        <x:v>23</x:v>
      </x:c>
      <x:c r="B34" s="6" t="n">
        <x:v>46538</x:v>
      </x:c>
      <x:c r="C34" s="7" t="n">
        <x:f>G33</x:f>
        <x:v>397055.41</x:v>
      </x:c>
      <x:c r="D34" s="7" t="n">
        <x:f>IF(A34=$B$7,ROUND(C34+E34,2),MIN($B$8,ROUND(C34+E34,2)))</x:f>
        <x:v>2742.78</x:v>
      </x:c>
      <x:c r="E34" s="7" t="n">
        <x:f>ROUND(C34*$B$6/12,2)</x:f>
        <x:v>2117.63</x:v>
      </x:c>
      <x:c r="F34" s="7" t="n">
        <x:f>ROUND(D34-E34,2)</x:f>
        <x:v>625.15</x:v>
      </x:c>
      <x:c r="G34" s="7" t="n">
        <x:f>ROUND(C34-F34,2)</x:f>
        <x:v>396430.26</x:v>
      </x:c>
      <x:c r="H34" s="7" t="n">
        <x:f>ROUND(D34-E34-F34,2)</x:f>
        <x:v>0</x:v>
      </x:c>
      <x:c r="I34" s="1" t="str">
        <x:v>Projection</x:v>
      </x:c>
    </x:row>
    <x:row r="35" ht="21" customHeight="1">
      <x:c r="A35" s="1" t="n">
        <x:v>24</x:v>
      </x:c>
      <x:c r="B35" s="6" t="n">
        <x:v>46568</x:v>
      </x:c>
      <x:c r="C35" s="7" t="n">
        <x:f>G34</x:f>
        <x:v>396430.26</x:v>
      </x:c>
      <x:c r="D35" s="7" t="n">
        <x:f>IF(A35=$B$7,ROUND(C35+E35,2),MIN($B$8,ROUND(C35+E35,2)))</x:f>
        <x:v>2742.78</x:v>
      </x:c>
      <x:c r="E35" s="7" t="n">
        <x:f>ROUND(C35*$B$6/12,2)</x:f>
        <x:v>2114.29</x:v>
      </x:c>
      <x:c r="F35" s="7" t="n">
        <x:f>ROUND(D35-E35,2)</x:f>
        <x:v>628.49</x:v>
      </x:c>
      <x:c r="G35" s="7" t="n">
        <x:f>ROUND(C35-F35,2)</x:f>
        <x:v>395801.77</x:v>
      </x:c>
      <x:c r="H35" s="7" t="n">
        <x:f>ROUND(D35-E35-F35,2)</x:f>
        <x:v>0</x:v>
      </x:c>
      <x:c r="I35" s="1" t="str">
        <x:v>Projection</x:v>
      </x:c>
    </x:row>
    <x:row r="36" ht="21" customHeight="1">
      <x:c r="A36" s="1" t="n">
        <x:v>25</x:v>
      </x:c>
      <x:c r="B36" s="6" t="n">
        <x:v>46599</x:v>
      </x:c>
      <x:c r="C36" s="7" t="n">
        <x:f>G35</x:f>
        <x:v>395801.77</x:v>
      </x:c>
      <x:c r="D36" s="7" t="n">
        <x:f>IF(A36=$B$7,ROUND(C36+E36,2),MIN($B$8,ROUND(C36+E36,2)))</x:f>
        <x:v>2742.78</x:v>
      </x:c>
      <x:c r="E36" s="7" t="n">
        <x:f>ROUND(C36*$B$6/12,2)</x:f>
        <x:v>2110.94</x:v>
      </x:c>
      <x:c r="F36" s="7" t="n">
        <x:f>ROUND(D36-E36,2)</x:f>
        <x:v>631.84</x:v>
      </x:c>
      <x:c r="G36" s="7" t="n">
        <x:f>ROUND(C36-F36,2)</x:f>
        <x:v>395169.93</x:v>
      </x:c>
      <x:c r="H36" s="7" t="n">
        <x:f>ROUND(D36-E36-F36,2)</x:f>
        <x:v>0</x:v>
      </x:c>
      <x:c r="I36" s="1" t="str">
        <x:v>Projection</x:v>
      </x:c>
    </x:row>
    <x:row r="37" ht="21" customHeight="1">
      <x:c r="A37" s="1" t="n">
        <x:v>26</x:v>
      </x:c>
      <x:c r="B37" s="6" t="n">
        <x:v>46630</x:v>
      </x:c>
      <x:c r="C37" s="7" t="n">
        <x:f>G36</x:f>
        <x:v>395169.93</x:v>
      </x:c>
      <x:c r="D37" s="7" t="n">
        <x:f>IF(A37=$B$7,ROUND(C37+E37,2),MIN($B$8,ROUND(C37+E37,2)))</x:f>
        <x:v>2742.78</x:v>
      </x:c>
      <x:c r="E37" s="7" t="n">
        <x:f>ROUND(C37*$B$6/12,2)</x:f>
        <x:v>2107.57</x:v>
      </x:c>
      <x:c r="F37" s="7" t="n">
        <x:f>ROUND(D37-E37,2)</x:f>
        <x:v>635.21</x:v>
      </x:c>
      <x:c r="G37" s="7" t="n">
        <x:f>ROUND(C37-F37,2)</x:f>
        <x:v>394534.72</x:v>
      </x:c>
      <x:c r="H37" s="7" t="n">
        <x:f>ROUND(D37-E37-F37,2)</x:f>
        <x:v>0</x:v>
      </x:c>
      <x:c r="I37" s="1" t="str">
        <x:v>Projection</x:v>
      </x:c>
    </x:row>
    <x:row r="38" ht="21" customHeight="1">
      <x:c r="A38" s="1" t="n">
        <x:v>27</x:v>
      </x:c>
      <x:c r="B38" s="6" t="n">
        <x:v>46660</x:v>
      </x:c>
      <x:c r="C38" s="7" t="n">
        <x:f>G37</x:f>
        <x:v>394534.72</x:v>
      </x:c>
      <x:c r="D38" s="7" t="n">
        <x:f>IF(A38=$B$7,ROUND(C38+E38,2),MIN($B$8,ROUND(C38+E38,2)))</x:f>
        <x:v>2742.78</x:v>
      </x:c>
      <x:c r="E38" s="7" t="n">
        <x:f>ROUND(C38*$B$6/12,2)</x:f>
        <x:v>2104.19</x:v>
      </x:c>
      <x:c r="F38" s="7" t="n">
        <x:f>ROUND(D38-E38,2)</x:f>
        <x:v>638.59</x:v>
      </x:c>
      <x:c r="G38" s="7" t="n">
        <x:f>ROUND(C38-F38,2)</x:f>
        <x:v>393896.13</x:v>
      </x:c>
      <x:c r="H38" s="7" t="n">
        <x:f>ROUND(D38-E38-F38,2)</x:f>
        <x:v>0</x:v>
      </x:c>
      <x:c r="I38" s="1" t="str">
        <x:v>Projection</x:v>
      </x:c>
    </x:row>
    <x:row r="39" ht="21" customHeight="1">
      <x:c r="A39" s="1" t="n">
        <x:v>28</x:v>
      </x:c>
      <x:c r="B39" s="6" t="n">
        <x:v>46691</x:v>
      </x:c>
      <x:c r="C39" s="7" t="n">
        <x:f>G38</x:f>
        <x:v>393896.13</x:v>
      </x:c>
      <x:c r="D39" s="7" t="n">
        <x:f>IF(A39=$B$7,ROUND(C39+E39,2),MIN($B$8,ROUND(C39+E39,2)))</x:f>
        <x:v>2742.78</x:v>
      </x:c>
      <x:c r="E39" s="7" t="n">
        <x:f>ROUND(C39*$B$6/12,2)</x:f>
        <x:v>2100.78</x:v>
      </x:c>
      <x:c r="F39" s="7" t="n">
        <x:f>ROUND(D39-E39,2)</x:f>
        <x:v>642</x:v>
      </x:c>
      <x:c r="G39" s="7" t="n">
        <x:f>ROUND(C39-F39,2)</x:f>
        <x:v>393254.13</x:v>
      </x:c>
      <x:c r="H39" s="7" t="n">
        <x:f>ROUND(D39-E39-F39,2)</x:f>
        <x:v>0</x:v>
      </x:c>
      <x:c r="I39" s="1" t="str">
        <x:v>Projection</x:v>
      </x:c>
    </x:row>
    <x:row r="40" ht="21" customHeight="1">
      <x:c r="A40" s="1" t="n">
        <x:v>29</x:v>
      </x:c>
      <x:c r="B40" s="6" t="n">
        <x:v>46721</x:v>
      </x:c>
      <x:c r="C40" s="7" t="n">
        <x:f>G39</x:f>
        <x:v>393254.13</x:v>
      </x:c>
      <x:c r="D40" s="7" t="n">
        <x:f>IF(A40=$B$7,ROUND(C40+E40,2),MIN($B$8,ROUND(C40+E40,2)))</x:f>
        <x:v>2742.78</x:v>
      </x:c>
      <x:c r="E40" s="7" t="n">
        <x:f>ROUND(C40*$B$6/12,2)</x:f>
        <x:v>2097.36</x:v>
      </x:c>
      <x:c r="F40" s="7" t="n">
        <x:f>ROUND(D40-E40,2)</x:f>
        <x:v>645.42</x:v>
      </x:c>
      <x:c r="G40" s="7" t="n">
        <x:f>ROUND(C40-F40,2)</x:f>
        <x:v>392608.71</x:v>
      </x:c>
      <x:c r="H40" s="7" t="n">
        <x:f>ROUND(D40-E40-F40,2)</x:f>
        <x:v>0</x:v>
      </x:c>
      <x:c r="I40" s="1" t="str">
        <x:v>Projection</x:v>
      </x:c>
    </x:row>
    <x:row r="41" ht="21" customHeight="1">
      <x:c r="A41" s="1" t="n">
        <x:v>30</x:v>
      </x:c>
      <x:c r="B41" s="6" t="n">
        <x:v>46752</x:v>
      </x:c>
      <x:c r="C41" s="7" t="n">
        <x:f>G40</x:f>
        <x:v>392608.71</x:v>
      </x:c>
      <x:c r="D41" s="7" t="n">
        <x:f>IF(A41=$B$7,ROUND(C41+E41,2),MIN($B$8,ROUND(C41+E41,2)))</x:f>
        <x:v>2742.78</x:v>
      </x:c>
      <x:c r="E41" s="7" t="n">
        <x:f>ROUND(C41*$B$6/12,2)</x:f>
        <x:v>2093.91</x:v>
      </x:c>
      <x:c r="F41" s="7" t="n">
        <x:f>ROUND(D41-E41,2)</x:f>
        <x:v>648.87</x:v>
      </x:c>
      <x:c r="G41" s="7" t="n">
        <x:f>ROUND(C41-F41,2)</x:f>
        <x:v>391959.84</x:v>
      </x:c>
      <x:c r="H41" s="7" t="n">
        <x:f>ROUND(D41-E41-F41,2)</x:f>
        <x:v>0</x:v>
      </x:c>
      <x:c r="I41" s="1" t="str">
        <x:v>Projection</x:v>
      </x:c>
    </x:row>
    <x:row r="42" ht="21" customHeight="1">
      <x:c r="A42" s="1" t="n">
        <x:v>31</x:v>
      </x:c>
      <x:c r="B42" s="6" t="n">
        <x:v>46783</x:v>
      </x:c>
      <x:c r="C42" s="7" t="n">
        <x:f>G41</x:f>
        <x:v>391959.84</x:v>
      </x:c>
      <x:c r="D42" s="7" t="n">
        <x:f>IF(A42=$B$7,ROUND(C42+E42,2),MIN($B$8,ROUND(C42+E42,2)))</x:f>
        <x:v>2742.78</x:v>
      </x:c>
      <x:c r="E42" s="7" t="n">
        <x:f>ROUND(C42*$B$6/12,2)</x:f>
        <x:v>2090.45</x:v>
      </x:c>
      <x:c r="F42" s="7" t="n">
        <x:f>ROUND(D42-E42,2)</x:f>
        <x:v>652.33</x:v>
      </x:c>
      <x:c r="G42" s="7" t="n">
        <x:f>ROUND(C42-F42,2)</x:f>
        <x:v>391307.51</x:v>
      </x:c>
      <x:c r="H42" s="7" t="n">
        <x:f>ROUND(D42-E42-F42,2)</x:f>
        <x:v>0</x:v>
      </x:c>
      <x:c r="I42" s="1" t="str">
        <x:v>Projection</x:v>
      </x:c>
    </x:row>
    <x:row r="43" ht="21" customHeight="1">
      <x:c r="A43" s="1" t="n">
        <x:v>32</x:v>
      </x:c>
      <x:c r="B43" s="6" t="n">
        <x:v>46812</x:v>
      </x:c>
      <x:c r="C43" s="7" t="n">
        <x:f>G42</x:f>
        <x:v>391307.51</x:v>
      </x:c>
      <x:c r="D43" s="7" t="n">
        <x:f>IF(A43=$B$7,ROUND(C43+E43,2),MIN($B$8,ROUND(C43+E43,2)))</x:f>
        <x:v>2742.78</x:v>
      </x:c>
      <x:c r="E43" s="7" t="n">
        <x:f>ROUND(C43*$B$6/12,2)</x:f>
        <x:v>2086.97</x:v>
      </x:c>
      <x:c r="F43" s="7" t="n">
        <x:f>ROUND(D43-E43,2)</x:f>
        <x:v>655.81</x:v>
      </x:c>
      <x:c r="G43" s="7" t="n">
        <x:f>ROUND(C43-F43,2)</x:f>
        <x:v>390651.7</x:v>
      </x:c>
      <x:c r="H43" s="7" t="n">
        <x:f>ROUND(D43-E43-F43,2)</x:f>
        <x:v>0</x:v>
      </x:c>
      <x:c r="I43" s="1" t="str">
        <x:v>Projection</x:v>
      </x:c>
    </x:row>
    <x:row r="44" ht="21" customHeight="1">
      <x:c r="A44" s="1" t="n">
        <x:v>33</x:v>
      </x:c>
      <x:c r="B44" s="6" t="n">
        <x:v>46843</x:v>
      </x:c>
      <x:c r="C44" s="7" t="n">
        <x:f>G43</x:f>
        <x:v>390651.7</x:v>
      </x:c>
      <x:c r="D44" s="7" t="n">
        <x:f>IF(A44=$B$7,ROUND(C44+E44,2),MIN($B$8,ROUND(C44+E44,2)))</x:f>
        <x:v>2742.78</x:v>
      </x:c>
      <x:c r="E44" s="7" t="n">
        <x:f>ROUND(C44*$B$6/12,2)</x:f>
        <x:v>2083.48</x:v>
      </x:c>
      <x:c r="F44" s="7" t="n">
        <x:f>ROUND(D44-E44,2)</x:f>
        <x:v>659.3</x:v>
      </x:c>
      <x:c r="G44" s="7" t="n">
        <x:f>ROUND(C44-F44,2)</x:f>
        <x:v>389992.4</x:v>
      </x:c>
      <x:c r="H44" s="7" t="n">
        <x:f>ROUND(D44-E44-F44,2)</x:f>
        <x:v>0</x:v>
      </x:c>
      <x:c r="I44" s="1" t="str">
        <x:v>Projection</x:v>
      </x:c>
    </x:row>
    <x:row r="45" ht="21" customHeight="1">
      <x:c r="A45" s="1" t="n">
        <x:v>34</x:v>
      </x:c>
      <x:c r="B45" s="6" t="n">
        <x:v>46873</x:v>
      </x:c>
      <x:c r="C45" s="7" t="n">
        <x:f>G44</x:f>
        <x:v>389992.4</x:v>
      </x:c>
      <x:c r="D45" s="7" t="n">
        <x:f>IF(A45=$B$7,ROUND(C45+E45,2),MIN($B$8,ROUND(C45+E45,2)))</x:f>
        <x:v>2742.78</x:v>
      </x:c>
      <x:c r="E45" s="7" t="n">
        <x:f>ROUND(C45*$B$6/12,2)</x:f>
        <x:v>2079.96</x:v>
      </x:c>
      <x:c r="F45" s="7" t="n">
        <x:f>ROUND(D45-E45,2)</x:f>
        <x:v>662.82</x:v>
      </x:c>
      <x:c r="G45" s="7" t="n">
        <x:f>ROUND(C45-F45,2)</x:f>
        <x:v>389329.58</x:v>
      </x:c>
      <x:c r="H45" s="7" t="n">
        <x:f>ROUND(D45-E45-F45,2)</x:f>
        <x:v>0</x:v>
      </x:c>
      <x:c r="I45" s="1" t="str">
        <x:v>Projection</x:v>
      </x:c>
    </x:row>
    <x:row r="46" ht="21" customHeight="1">
      <x:c r="A46" s="1" t="n">
        <x:v>35</x:v>
      </x:c>
      <x:c r="B46" s="6" t="n">
        <x:v>46904</x:v>
      </x:c>
      <x:c r="C46" s="7" t="n">
        <x:f>G45</x:f>
        <x:v>389329.58</x:v>
      </x:c>
      <x:c r="D46" s="7" t="n">
        <x:f>IF(A46=$B$7,ROUND(C46+E46,2),MIN($B$8,ROUND(C46+E46,2)))</x:f>
        <x:v>2742.78</x:v>
      </x:c>
      <x:c r="E46" s="7" t="n">
        <x:f>ROUND(C46*$B$6/12,2)</x:f>
        <x:v>2076.42</x:v>
      </x:c>
      <x:c r="F46" s="7" t="n">
        <x:f>ROUND(D46-E46,2)</x:f>
        <x:v>666.36</x:v>
      </x:c>
      <x:c r="G46" s="7" t="n">
        <x:f>ROUND(C46-F46,2)</x:f>
        <x:v>388663.22</x:v>
      </x:c>
      <x:c r="H46" s="7" t="n">
        <x:f>ROUND(D46-E46-F46,2)</x:f>
        <x:v>0</x:v>
      </x:c>
      <x:c r="I46" s="1" t="str">
        <x:v>Projection</x:v>
      </x:c>
    </x:row>
    <x:row r="47" ht="21" customHeight="1">
      <x:c r="A47" s="1" t="n">
        <x:v>36</x:v>
      </x:c>
      <x:c r="B47" s="6" t="n">
        <x:v>46934</x:v>
      </x:c>
      <x:c r="C47" s="7" t="n">
        <x:f>G46</x:f>
        <x:v>388663.22</x:v>
      </x:c>
      <x:c r="D47" s="7" t="n">
        <x:f>IF(A47=$B$7,ROUND(C47+E47,2),MIN($B$8,ROUND(C47+E47,2)))</x:f>
        <x:v>2742.78</x:v>
      </x:c>
      <x:c r="E47" s="7" t="n">
        <x:f>ROUND(C47*$B$6/12,2)</x:f>
        <x:v>2072.87</x:v>
      </x:c>
      <x:c r="F47" s="7" t="n">
        <x:f>ROUND(D47-E47,2)</x:f>
        <x:v>669.91</x:v>
      </x:c>
      <x:c r="G47" s="7" t="n">
        <x:f>ROUND(C47-F47,2)</x:f>
        <x:v>387993.31</x:v>
      </x:c>
      <x:c r="H47" s="7" t="n">
        <x:f>ROUND(D47-E47-F47,2)</x:f>
        <x:v>0</x:v>
      </x:c>
      <x:c r="I47" s="1" t="str">
        <x:v>Projection</x:v>
      </x:c>
    </x:row>
    <x:row r="48" ht="21" customHeight="1">
      <x:c r="A48" s="1" t="n">
        <x:v>37</x:v>
      </x:c>
      <x:c r="B48" s="6" t="n">
        <x:v>46965</x:v>
      </x:c>
      <x:c r="C48" s="7" t="n">
        <x:f>G47</x:f>
        <x:v>387993.31</x:v>
      </x:c>
      <x:c r="D48" s="7" t="n">
        <x:f>IF(A48=$B$7,ROUND(C48+E48,2),MIN($B$8,ROUND(C48+E48,2)))</x:f>
        <x:v>2742.78</x:v>
      </x:c>
      <x:c r="E48" s="7" t="n">
        <x:f>ROUND(C48*$B$6/12,2)</x:f>
        <x:v>2069.3</x:v>
      </x:c>
      <x:c r="F48" s="7" t="n">
        <x:f>ROUND(D48-E48,2)</x:f>
        <x:v>673.48</x:v>
      </x:c>
      <x:c r="G48" s="7" t="n">
        <x:f>ROUND(C48-F48,2)</x:f>
        <x:v>387319.83</x:v>
      </x:c>
      <x:c r="H48" s="7" t="n">
        <x:f>ROUND(D48-E48-F48,2)</x:f>
        <x:v>0</x:v>
      </x:c>
      <x:c r="I48" s="1" t="str">
        <x:v>Projection</x:v>
      </x:c>
    </x:row>
    <x:row r="49" ht="21" customHeight="1">
      <x:c r="A49" s="1" t="n">
        <x:v>38</x:v>
      </x:c>
      <x:c r="B49" s="6" t="n">
        <x:v>46996</x:v>
      </x:c>
      <x:c r="C49" s="7" t="n">
        <x:f>G48</x:f>
        <x:v>387319.83</x:v>
      </x:c>
      <x:c r="D49" s="7" t="n">
        <x:f>IF(A49=$B$7,ROUND(C49+E49,2),MIN($B$8,ROUND(C49+E49,2)))</x:f>
        <x:v>2742.78</x:v>
      </x:c>
      <x:c r="E49" s="7" t="n">
        <x:f>ROUND(C49*$B$6/12,2)</x:f>
        <x:v>2065.71</x:v>
      </x:c>
      <x:c r="F49" s="7" t="n">
        <x:f>ROUND(D49-E49,2)</x:f>
        <x:v>677.07</x:v>
      </x:c>
      <x:c r="G49" s="7" t="n">
        <x:f>ROUND(C49-F49,2)</x:f>
        <x:v>386642.76</x:v>
      </x:c>
      <x:c r="H49" s="7" t="n">
        <x:f>ROUND(D49-E49-F49,2)</x:f>
        <x:v>0</x:v>
      </x:c>
      <x:c r="I49" s="1" t="str">
        <x:v>Projection</x:v>
      </x:c>
    </x:row>
    <x:row r="50" ht="21" customHeight="1">
      <x:c r="A50" s="1" t="n">
        <x:v>39</x:v>
      </x:c>
      <x:c r="B50" s="6" t="n">
        <x:v>47026</x:v>
      </x:c>
      <x:c r="C50" s="7" t="n">
        <x:f>G49</x:f>
        <x:v>386642.76</x:v>
      </x:c>
      <x:c r="D50" s="7" t="n">
        <x:f>IF(A50=$B$7,ROUND(C50+E50,2),MIN($B$8,ROUND(C50+E50,2)))</x:f>
        <x:v>2742.78</x:v>
      </x:c>
      <x:c r="E50" s="7" t="n">
        <x:f>ROUND(C50*$B$6/12,2)</x:f>
        <x:v>2062.09</x:v>
      </x:c>
      <x:c r="F50" s="7" t="n">
        <x:f>ROUND(D50-E50,2)</x:f>
        <x:v>680.69</x:v>
      </x:c>
      <x:c r="G50" s="7" t="n">
        <x:f>ROUND(C50-F50,2)</x:f>
        <x:v>385962.07</x:v>
      </x:c>
      <x:c r="H50" s="7" t="n">
        <x:f>ROUND(D50-E50-F50,2)</x:f>
        <x:v>0</x:v>
      </x:c>
      <x:c r="I50" s="1" t="str">
        <x:v>Projection</x:v>
      </x:c>
    </x:row>
    <x:row r="51" ht="21" customHeight="1">
      <x:c r="A51" s="1" t="n">
        <x:v>40</x:v>
      </x:c>
      <x:c r="B51" s="6" t="n">
        <x:v>47057</x:v>
      </x:c>
      <x:c r="C51" s="7" t="n">
        <x:f>G50</x:f>
        <x:v>385962.07</x:v>
      </x:c>
      <x:c r="D51" s="7" t="n">
        <x:f>IF(A51=$B$7,ROUND(C51+E51,2),MIN($B$8,ROUND(C51+E51,2)))</x:f>
        <x:v>2742.78</x:v>
      </x:c>
      <x:c r="E51" s="7" t="n">
        <x:f>ROUND(C51*$B$6/12,2)</x:f>
        <x:v>2058.46</x:v>
      </x:c>
      <x:c r="F51" s="7" t="n">
        <x:f>ROUND(D51-E51,2)</x:f>
        <x:v>684.32</x:v>
      </x:c>
      <x:c r="G51" s="7" t="n">
        <x:f>ROUND(C51-F51,2)</x:f>
        <x:v>385277.75</x:v>
      </x:c>
      <x:c r="H51" s="7" t="n">
        <x:f>ROUND(D51-E51-F51,2)</x:f>
        <x:v>0</x:v>
      </x:c>
      <x:c r="I51" s="1" t="str">
        <x:v>Projection</x:v>
      </x:c>
    </x:row>
    <x:row r="52" ht="21" customHeight="1">
      <x:c r="A52" s="1" t="n">
        <x:v>41</x:v>
      </x:c>
      <x:c r="B52" s="6" t="n">
        <x:v>47087</x:v>
      </x:c>
      <x:c r="C52" s="7" t="n">
        <x:f>G51</x:f>
        <x:v>385277.75</x:v>
      </x:c>
      <x:c r="D52" s="7" t="n">
        <x:f>IF(A52=$B$7,ROUND(C52+E52,2),MIN($B$8,ROUND(C52+E52,2)))</x:f>
        <x:v>2742.78</x:v>
      </x:c>
      <x:c r="E52" s="7" t="n">
        <x:f>ROUND(C52*$B$6/12,2)</x:f>
        <x:v>2054.81</x:v>
      </x:c>
      <x:c r="F52" s="7" t="n">
        <x:f>ROUND(D52-E52,2)</x:f>
        <x:v>687.97</x:v>
      </x:c>
      <x:c r="G52" s="7" t="n">
        <x:f>ROUND(C52-F52,2)</x:f>
        <x:v>384589.78</x:v>
      </x:c>
      <x:c r="H52" s="7" t="n">
        <x:f>ROUND(D52-E52-F52,2)</x:f>
        <x:v>0</x:v>
      </x:c>
      <x:c r="I52" s="1" t="str">
        <x:v>Projection</x:v>
      </x:c>
    </x:row>
    <x:row r="53" ht="21" customHeight="1">
      <x:c r="A53" s="1" t="n">
        <x:v>42</x:v>
      </x:c>
      <x:c r="B53" s="6" t="n">
        <x:v>47118</x:v>
      </x:c>
      <x:c r="C53" s="7" t="n">
        <x:f>G52</x:f>
        <x:v>384589.78</x:v>
      </x:c>
      <x:c r="D53" s="7" t="n">
        <x:f>IF(A53=$B$7,ROUND(C53+E53,2),MIN($B$8,ROUND(C53+E53,2)))</x:f>
        <x:v>2742.78</x:v>
      </x:c>
      <x:c r="E53" s="7" t="n">
        <x:f>ROUND(C53*$B$6/12,2)</x:f>
        <x:v>2051.15</x:v>
      </x:c>
      <x:c r="F53" s="7" t="n">
        <x:f>ROUND(D53-E53,2)</x:f>
        <x:v>691.63</x:v>
      </x:c>
      <x:c r="G53" s="7" t="n">
        <x:f>ROUND(C53-F53,2)</x:f>
        <x:v>383898.15</x:v>
      </x:c>
      <x:c r="H53" s="7" t="n">
        <x:f>ROUND(D53-E53-F53,2)</x:f>
        <x:v>0</x:v>
      </x:c>
      <x:c r="I53" s="1" t="str">
        <x:v>Projection</x:v>
      </x:c>
    </x:row>
    <x:row r="54" ht="21" customHeight="1">
      <x:c r="A54" s="1" t="n">
        <x:v>43</x:v>
      </x:c>
      <x:c r="B54" s="6" t="n">
        <x:v>47149</x:v>
      </x:c>
      <x:c r="C54" s="7" t="n">
        <x:f>G53</x:f>
        <x:v>383898.15</x:v>
      </x:c>
      <x:c r="D54" s="7" t="n">
        <x:f>IF(A54=$B$7,ROUND(C54+E54,2),MIN($B$8,ROUND(C54+E54,2)))</x:f>
        <x:v>2742.78</x:v>
      </x:c>
      <x:c r="E54" s="7" t="n">
        <x:f>ROUND(C54*$B$6/12,2)</x:f>
        <x:v>2047.46</x:v>
      </x:c>
      <x:c r="F54" s="7" t="n">
        <x:f>ROUND(D54-E54,2)</x:f>
        <x:v>695.32</x:v>
      </x:c>
      <x:c r="G54" s="7" t="n">
        <x:f>ROUND(C54-F54,2)</x:f>
        <x:v>383202.83</x:v>
      </x:c>
      <x:c r="H54" s="7" t="n">
        <x:f>ROUND(D54-E54-F54,2)</x:f>
        <x:v>0</x:v>
      </x:c>
      <x:c r="I54" s="1" t="str">
        <x:v>Projection</x:v>
      </x:c>
    </x:row>
    <x:row r="55" ht="21" customHeight="1">
      <x:c r="A55" s="1" t="n">
        <x:v>44</x:v>
      </x:c>
      <x:c r="B55" s="6" t="n">
        <x:v>47177</x:v>
      </x:c>
      <x:c r="C55" s="7" t="n">
        <x:f>G54</x:f>
        <x:v>383202.83</x:v>
      </x:c>
      <x:c r="D55" s="7" t="n">
        <x:f>IF(A55=$B$7,ROUND(C55+E55,2),MIN($B$8,ROUND(C55+E55,2)))</x:f>
        <x:v>2742.78</x:v>
      </x:c>
      <x:c r="E55" s="7" t="n">
        <x:f>ROUND(C55*$B$6/12,2)</x:f>
        <x:v>2043.75</x:v>
      </x:c>
      <x:c r="F55" s="7" t="n">
        <x:f>ROUND(D55-E55,2)</x:f>
        <x:v>699.03</x:v>
      </x:c>
      <x:c r="G55" s="7" t="n">
        <x:f>ROUND(C55-F55,2)</x:f>
        <x:v>382503.8</x:v>
      </x:c>
      <x:c r="H55" s="7" t="n">
        <x:f>ROUND(D55-E55-F55,2)</x:f>
        <x:v>0</x:v>
      </x:c>
      <x:c r="I55" s="1" t="str">
        <x:v>Projection</x:v>
      </x:c>
    </x:row>
    <x:row r="56" ht="21" customHeight="1">
      <x:c r="A56" s="1" t="n">
        <x:v>45</x:v>
      </x:c>
      <x:c r="B56" s="6" t="n">
        <x:v>47208</x:v>
      </x:c>
      <x:c r="C56" s="7" t="n">
        <x:f>G55</x:f>
        <x:v>382503.8</x:v>
      </x:c>
      <x:c r="D56" s="7" t="n">
        <x:f>IF(A56=$B$7,ROUND(C56+E56,2),MIN($B$8,ROUND(C56+E56,2)))</x:f>
        <x:v>2742.78</x:v>
      </x:c>
      <x:c r="E56" s="7" t="n">
        <x:f>ROUND(C56*$B$6/12,2)</x:f>
        <x:v>2040.02</x:v>
      </x:c>
      <x:c r="F56" s="7" t="n">
        <x:f>ROUND(D56-E56,2)</x:f>
        <x:v>702.76</x:v>
      </x:c>
      <x:c r="G56" s="7" t="n">
        <x:f>ROUND(C56-F56,2)</x:f>
        <x:v>381801.04</x:v>
      </x:c>
      <x:c r="H56" s="7" t="n">
        <x:f>ROUND(D56-E56-F56,2)</x:f>
        <x:v>0</x:v>
      </x:c>
      <x:c r="I56" s="1" t="str">
        <x:v>Projection</x:v>
      </x:c>
    </x:row>
    <x:row r="57" ht="21" customHeight="1">
      <x:c r="A57" s="1" t="n">
        <x:v>46</x:v>
      </x:c>
      <x:c r="B57" s="6" t="n">
        <x:v>47238</x:v>
      </x:c>
      <x:c r="C57" s="7" t="n">
        <x:f>G56</x:f>
        <x:v>381801.04</x:v>
      </x:c>
      <x:c r="D57" s="7" t="n">
        <x:f>IF(A57=$B$7,ROUND(C57+E57,2),MIN($B$8,ROUND(C57+E57,2)))</x:f>
        <x:v>2742.78</x:v>
      </x:c>
      <x:c r="E57" s="7" t="n">
        <x:f>ROUND(C57*$B$6/12,2)</x:f>
        <x:v>2036.27</x:v>
      </x:c>
      <x:c r="F57" s="7" t="n">
        <x:f>ROUND(D57-E57,2)</x:f>
        <x:v>706.51</x:v>
      </x:c>
      <x:c r="G57" s="7" t="n">
        <x:f>ROUND(C57-F57,2)</x:f>
        <x:v>381094.53</x:v>
      </x:c>
      <x:c r="H57" s="7" t="n">
        <x:f>ROUND(D57-E57-F57,2)</x:f>
        <x:v>0</x:v>
      </x:c>
      <x:c r="I57" s="1" t="str">
        <x:v>Projection</x:v>
      </x:c>
    </x:row>
    <x:row r="58" ht="21" customHeight="1">
      <x:c r="A58" s="1" t="n">
        <x:v>47</x:v>
      </x:c>
      <x:c r="B58" s="6" t="n">
        <x:v>47269</x:v>
      </x:c>
      <x:c r="C58" s="7" t="n">
        <x:f>G57</x:f>
        <x:v>381094.53</x:v>
      </x:c>
      <x:c r="D58" s="7" t="n">
        <x:f>IF(A58=$B$7,ROUND(C58+E58,2),MIN($B$8,ROUND(C58+E58,2)))</x:f>
        <x:v>2742.78</x:v>
      </x:c>
      <x:c r="E58" s="7" t="n">
        <x:f>ROUND(C58*$B$6/12,2)</x:f>
        <x:v>2032.5</x:v>
      </x:c>
      <x:c r="F58" s="7" t="n">
        <x:f>ROUND(D58-E58,2)</x:f>
        <x:v>710.28</x:v>
      </x:c>
      <x:c r="G58" s="7" t="n">
        <x:f>ROUND(C58-F58,2)</x:f>
        <x:v>380384.25</x:v>
      </x:c>
      <x:c r="H58" s="7" t="n">
        <x:f>ROUND(D58-E58-F58,2)</x:f>
        <x:v>0</x:v>
      </x:c>
      <x:c r="I58" s="1" t="str">
        <x:v>Projection</x:v>
      </x:c>
    </x:row>
    <x:row r="59" ht="21" customHeight="1">
      <x:c r="A59" s="1" t="n">
        <x:v>48</x:v>
      </x:c>
      <x:c r="B59" s="6" t="n">
        <x:v>47299</x:v>
      </x:c>
      <x:c r="C59" s="7" t="n">
        <x:f>G58</x:f>
        <x:v>380384.25</x:v>
      </x:c>
      <x:c r="D59" s="7" t="n">
        <x:f>IF(A59=$B$7,ROUND(C59+E59,2),MIN($B$8,ROUND(C59+E59,2)))</x:f>
        <x:v>2742.78</x:v>
      </x:c>
      <x:c r="E59" s="7" t="n">
        <x:f>ROUND(C59*$B$6/12,2)</x:f>
        <x:v>2028.72</x:v>
      </x:c>
      <x:c r="F59" s="7" t="n">
        <x:f>ROUND(D59-E59,2)</x:f>
        <x:v>714.06</x:v>
      </x:c>
      <x:c r="G59" s="7" t="n">
        <x:f>ROUND(C59-F59,2)</x:f>
        <x:v>379670.19</x:v>
      </x:c>
      <x:c r="H59" s="7" t="n">
        <x:f>ROUND(D59-E59-F59,2)</x:f>
        <x:v>0</x:v>
      </x:c>
      <x:c r="I59" s="1" t="str">
        <x:v>Projection</x:v>
      </x:c>
    </x:row>
    <x:row r="60" ht="21" customHeight="1">
      <x:c r="A60" s="1" t="n">
        <x:v>49</x:v>
      </x:c>
      <x:c r="B60" s="6" t="n">
        <x:v>47330</x:v>
      </x:c>
      <x:c r="C60" s="7" t="n">
        <x:f>G59</x:f>
        <x:v>379670.19</x:v>
      </x:c>
      <x:c r="D60" s="7" t="n">
        <x:f>IF(A60=$B$7,ROUND(C60+E60,2),MIN($B$8,ROUND(C60+E60,2)))</x:f>
        <x:v>2742.78</x:v>
      </x:c>
      <x:c r="E60" s="7" t="n">
        <x:f>ROUND(C60*$B$6/12,2)</x:f>
        <x:v>2024.91</x:v>
      </x:c>
      <x:c r="F60" s="7" t="n">
        <x:f>ROUND(D60-E60,2)</x:f>
        <x:v>717.87</x:v>
      </x:c>
      <x:c r="G60" s="7" t="n">
        <x:f>ROUND(C60-F60,2)</x:f>
        <x:v>378952.32</x:v>
      </x:c>
      <x:c r="H60" s="7" t="n">
        <x:f>ROUND(D60-E60-F60,2)</x:f>
        <x:v>0</x:v>
      </x:c>
      <x:c r="I60" s="1" t="str">
        <x:v>Projection</x:v>
      </x:c>
    </x:row>
    <x:row r="61" ht="21" customHeight="1">
      <x:c r="A61" s="1" t="n">
        <x:v>50</x:v>
      </x:c>
      <x:c r="B61" s="6" t="n">
        <x:v>47361</x:v>
      </x:c>
      <x:c r="C61" s="7" t="n">
        <x:f>G60</x:f>
        <x:v>378952.32</x:v>
      </x:c>
      <x:c r="D61" s="7" t="n">
        <x:f>IF(A61=$B$7,ROUND(C61+E61,2),MIN($B$8,ROUND(C61+E61,2)))</x:f>
        <x:v>2742.78</x:v>
      </x:c>
      <x:c r="E61" s="7" t="n">
        <x:f>ROUND(C61*$B$6/12,2)</x:f>
        <x:v>2021.08</x:v>
      </x:c>
      <x:c r="F61" s="7" t="n">
        <x:f>ROUND(D61-E61,2)</x:f>
        <x:v>721.7</x:v>
      </x:c>
      <x:c r="G61" s="7" t="n">
        <x:f>ROUND(C61-F61,2)</x:f>
        <x:v>378230.62</x:v>
      </x:c>
      <x:c r="H61" s="7" t="n">
        <x:f>ROUND(D61-E61-F61,2)</x:f>
        <x:v>0</x:v>
      </x:c>
      <x:c r="I61" s="1" t="str">
        <x:v>Projection</x:v>
      </x:c>
    </x:row>
    <x:row r="62" ht="21" customHeight="1">
      <x:c r="A62" s="1" t="n">
        <x:v>51</x:v>
      </x:c>
      <x:c r="B62" s="6" t="n">
        <x:v>47391</x:v>
      </x:c>
      <x:c r="C62" s="7" t="n">
        <x:f>G61</x:f>
        <x:v>378230.62</x:v>
      </x:c>
      <x:c r="D62" s="7" t="n">
        <x:f>IF(A62=$B$7,ROUND(C62+E62,2),MIN($B$8,ROUND(C62+E62,2)))</x:f>
        <x:v>2742.78</x:v>
      </x:c>
      <x:c r="E62" s="7" t="n">
        <x:f>ROUND(C62*$B$6/12,2)</x:f>
        <x:v>2017.23</x:v>
      </x:c>
      <x:c r="F62" s="7" t="n">
        <x:f>ROUND(D62-E62,2)</x:f>
        <x:v>725.55</x:v>
      </x:c>
      <x:c r="G62" s="7" t="n">
        <x:f>ROUND(C62-F62,2)</x:f>
        <x:v>377505.07</x:v>
      </x:c>
      <x:c r="H62" s="7" t="n">
        <x:f>ROUND(D62-E62-F62,2)</x:f>
        <x:v>0</x:v>
      </x:c>
      <x:c r="I62" s="1" t="str">
        <x:v>Projection</x:v>
      </x:c>
    </x:row>
    <x:row r="63" ht="21" customHeight="1">
      <x:c r="A63" s="1" t="n">
        <x:v>52</x:v>
      </x:c>
      <x:c r="B63" s="6" t="n">
        <x:v>47422</x:v>
      </x:c>
      <x:c r="C63" s="7" t="n">
        <x:f>G62</x:f>
        <x:v>377505.07</x:v>
      </x:c>
      <x:c r="D63" s="7" t="n">
        <x:f>IF(A63=$B$7,ROUND(C63+E63,2),MIN($B$8,ROUND(C63+E63,2)))</x:f>
        <x:v>2742.78</x:v>
      </x:c>
      <x:c r="E63" s="7" t="n">
        <x:f>ROUND(C63*$B$6/12,2)</x:f>
        <x:v>2013.36</x:v>
      </x:c>
      <x:c r="F63" s="7" t="n">
        <x:f>ROUND(D63-E63,2)</x:f>
        <x:v>729.42</x:v>
      </x:c>
      <x:c r="G63" s="7" t="n">
        <x:f>ROUND(C63-F63,2)</x:f>
        <x:v>376775.65</x:v>
      </x:c>
      <x:c r="H63" s="7" t="n">
        <x:f>ROUND(D63-E63-F63,2)</x:f>
        <x:v>0</x:v>
      </x:c>
      <x:c r="I63" s="1" t="str">
        <x:v>Projection</x:v>
      </x:c>
    </x:row>
    <x:row r="64" ht="21" customHeight="1">
      <x:c r="A64" s="1" t="n">
        <x:v>53</x:v>
      </x:c>
      <x:c r="B64" s="6" t="n">
        <x:v>47452</x:v>
      </x:c>
      <x:c r="C64" s="7" t="n">
        <x:f>G63</x:f>
        <x:v>376775.65</x:v>
      </x:c>
      <x:c r="D64" s="7" t="n">
        <x:f>IF(A64=$B$7,ROUND(C64+E64,2),MIN($B$8,ROUND(C64+E64,2)))</x:f>
        <x:v>2742.78</x:v>
      </x:c>
      <x:c r="E64" s="7" t="n">
        <x:f>ROUND(C64*$B$6/12,2)</x:f>
        <x:v>2009.47</x:v>
      </x:c>
      <x:c r="F64" s="7" t="n">
        <x:f>ROUND(D64-E64,2)</x:f>
        <x:v>733.31</x:v>
      </x:c>
      <x:c r="G64" s="7" t="n">
        <x:f>ROUND(C64-F64,2)</x:f>
        <x:v>376042.34</x:v>
      </x:c>
      <x:c r="H64" s="7" t="n">
        <x:f>ROUND(D64-E64-F64,2)</x:f>
        <x:v>0</x:v>
      </x:c>
      <x:c r="I64" s="1" t="str">
        <x:v>Projection</x:v>
      </x:c>
    </x:row>
    <x:row r="65" ht="21" customHeight="1">
      <x:c r="A65" s="1" t="n">
        <x:v>54</x:v>
      </x:c>
      <x:c r="B65" s="6" t="n">
        <x:v>47483</x:v>
      </x:c>
      <x:c r="C65" s="7" t="n">
        <x:f>G64</x:f>
        <x:v>376042.34</x:v>
      </x:c>
      <x:c r="D65" s="7" t="n">
        <x:f>IF(A65=$B$7,ROUND(C65+E65,2),MIN($B$8,ROUND(C65+E65,2)))</x:f>
        <x:v>2742.78</x:v>
      </x:c>
      <x:c r="E65" s="7" t="n">
        <x:f>ROUND(C65*$B$6/12,2)</x:f>
        <x:v>2005.56</x:v>
      </x:c>
      <x:c r="F65" s="7" t="n">
        <x:f>ROUND(D65-E65,2)</x:f>
        <x:v>737.22</x:v>
      </x:c>
      <x:c r="G65" s="7" t="n">
        <x:f>ROUND(C65-F65,2)</x:f>
        <x:v>375305.12</x:v>
      </x:c>
      <x:c r="H65" s="7" t="n">
        <x:f>ROUND(D65-E65-F65,2)</x:f>
        <x:v>0</x:v>
      </x:c>
      <x:c r="I65" s="1" t="str">
        <x:v>Projection</x:v>
      </x:c>
    </x:row>
    <x:row r="66" ht="21" customHeight="1">
      <x:c r="A66" s="1" t="n">
        <x:v>55</x:v>
      </x:c>
      <x:c r="B66" s="6" t="n">
        <x:v>47514</x:v>
      </x:c>
      <x:c r="C66" s="7" t="n">
        <x:f>G65</x:f>
        <x:v>375305.12</x:v>
      </x:c>
      <x:c r="D66" s="7" t="n">
        <x:f>IF(A66=$B$7,ROUND(C66+E66,2),MIN($B$8,ROUND(C66+E66,2)))</x:f>
        <x:v>2742.78</x:v>
      </x:c>
      <x:c r="E66" s="7" t="n">
        <x:f>ROUND(C66*$B$6/12,2)</x:f>
        <x:v>2001.63</x:v>
      </x:c>
      <x:c r="F66" s="7" t="n">
        <x:f>ROUND(D66-E66,2)</x:f>
        <x:v>741.15</x:v>
      </x:c>
      <x:c r="G66" s="7" t="n">
        <x:f>ROUND(C66-F66,2)</x:f>
        <x:v>374563.97</x:v>
      </x:c>
      <x:c r="H66" s="7" t="n">
        <x:f>ROUND(D66-E66-F66,2)</x:f>
        <x:v>0</x:v>
      </x:c>
      <x:c r="I66" s="1" t="str">
        <x:v>Projection</x:v>
      </x:c>
    </x:row>
    <x:row r="67" ht="21" customHeight="1">
      <x:c r="A67" s="1" t="n">
        <x:v>56</x:v>
      </x:c>
      <x:c r="B67" s="6" t="n">
        <x:v>47542</x:v>
      </x:c>
      <x:c r="C67" s="7" t="n">
        <x:f>G66</x:f>
        <x:v>374563.97</x:v>
      </x:c>
      <x:c r="D67" s="7" t="n">
        <x:f>IF(A67=$B$7,ROUND(C67+E67,2),MIN($B$8,ROUND(C67+E67,2)))</x:f>
        <x:v>2742.78</x:v>
      </x:c>
      <x:c r="E67" s="7" t="n">
        <x:f>ROUND(C67*$B$6/12,2)</x:f>
        <x:v>1997.67</x:v>
      </x:c>
      <x:c r="F67" s="7" t="n">
        <x:f>ROUND(D67-E67,2)</x:f>
        <x:v>745.11</x:v>
      </x:c>
      <x:c r="G67" s="7" t="n">
        <x:f>ROUND(C67-F67,2)</x:f>
        <x:v>373818.86</x:v>
      </x:c>
      <x:c r="H67" s="7" t="n">
        <x:f>ROUND(D67-E67-F67,2)</x:f>
        <x:v>0</x:v>
      </x:c>
      <x:c r="I67" s="1" t="str">
        <x:v>Projection</x:v>
      </x:c>
    </x:row>
    <x:row r="68" ht="21" customHeight="1">
      <x:c r="A68" s="1" t="n">
        <x:v>57</x:v>
      </x:c>
      <x:c r="B68" s="6" t="n">
        <x:v>47573</x:v>
      </x:c>
      <x:c r="C68" s="7" t="n">
        <x:f>G67</x:f>
        <x:v>373818.86</x:v>
      </x:c>
      <x:c r="D68" s="7" t="n">
        <x:f>IF(A68=$B$7,ROUND(C68+E68,2),MIN($B$8,ROUND(C68+E68,2)))</x:f>
        <x:v>2742.78</x:v>
      </x:c>
      <x:c r="E68" s="7" t="n">
        <x:f>ROUND(C68*$B$6/12,2)</x:f>
        <x:v>1993.7</x:v>
      </x:c>
      <x:c r="F68" s="7" t="n">
        <x:f>ROUND(D68-E68,2)</x:f>
        <x:v>749.08</x:v>
      </x:c>
      <x:c r="G68" s="7" t="n">
        <x:f>ROUND(C68-F68,2)</x:f>
        <x:v>373069.78</x:v>
      </x:c>
      <x:c r="H68" s="7" t="n">
        <x:f>ROUND(D68-E68-F68,2)</x:f>
        <x:v>0</x:v>
      </x:c>
      <x:c r="I68" s="1" t="str">
        <x:v>Projection</x:v>
      </x:c>
    </x:row>
    <x:row r="69" ht="21" customHeight="1">
      <x:c r="A69" s="1" t="n">
        <x:v>58</x:v>
      </x:c>
      <x:c r="B69" s="6" t="n">
        <x:v>47603</x:v>
      </x:c>
      <x:c r="C69" s="7" t="n">
        <x:f>G68</x:f>
        <x:v>373069.78</x:v>
      </x:c>
      <x:c r="D69" s="7" t="n">
        <x:f>IF(A69=$B$7,ROUND(C69+E69,2),MIN($B$8,ROUND(C69+E69,2)))</x:f>
        <x:v>2742.78</x:v>
      </x:c>
      <x:c r="E69" s="7" t="n">
        <x:f>ROUND(C69*$B$6/12,2)</x:f>
        <x:v>1989.71</x:v>
      </x:c>
      <x:c r="F69" s="7" t="n">
        <x:f>ROUND(D69-E69,2)</x:f>
        <x:v>753.07</x:v>
      </x:c>
      <x:c r="G69" s="7" t="n">
        <x:f>ROUND(C69-F69,2)</x:f>
        <x:v>372316.71</x:v>
      </x:c>
      <x:c r="H69" s="7" t="n">
        <x:f>ROUND(D69-E69-F69,2)</x:f>
        <x:v>0</x:v>
      </x:c>
      <x:c r="I69" s="1" t="str">
        <x:v>Projection</x:v>
      </x:c>
    </x:row>
    <x:row r="70" ht="21" customHeight="1">
      <x:c r="A70" s="1" t="n">
        <x:v>59</x:v>
      </x:c>
      <x:c r="B70" s="6" t="n">
        <x:v>47634</x:v>
      </x:c>
      <x:c r="C70" s="7" t="n">
        <x:f>G69</x:f>
        <x:v>372316.71</x:v>
      </x:c>
      <x:c r="D70" s="7" t="n">
        <x:f>IF(A70=$B$7,ROUND(C70+E70,2),MIN($B$8,ROUND(C70+E70,2)))</x:f>
        <x:v>2742.78</x:v>
      </x:c>
      <x:c r="E70" s="7" t="n">
        <x:f>ROUND(C70*$B$6/12,2)</x:f>
        <x:v>1985.69</x:v>
      </x:c>
      <x:c r="F70" s="7" t="n">
        <x:f>ROUND(D70-E70,2)</x:f>
        <x:v>757.09</x:v>
      </x:c>
      <x:c r="G70" s="7" t="n">
        <x:f>ROUND(C70-F70,2)</x:f>
        <x:v>371559.62</x:v>
      </x:c>
      <x:c r="H70" s="7" t="n">
        <x:f>ROUND(D70-E70-F70,2)</x:f>
        <x:v>0</x:v>
      </x:c>
      <x:c r="I70" s="1" t="str">
        <x:v>Projection</x:v>
      </x:c>
    </x:row>
    <x:row r="71" ht="21" customHeight="1">
      <x:c r="A71" s="1" t="n">
        <x:v>60</x:v>
      </x:c>
      <x:c r="B71" s="6" t="n">
        <x:v>47664</x:v>
      </x:c>
      <x:c r="C71" s="7" t="n">
        <x:f>G70</x:f>
        <x:v>371559.62</x:v>
      </x:c>
      <x:c r="D71" s="7" t="n">
        <x:f>IF(A71=$B$7,ROUND(C71+E71,2),MIN($B$8,ROUND(C71+E71,2)))</x:f>
        <x:v>2742.78</x:v>
      </x:c>
      <x:c r="E71" s="7" t="n">
        <x:f>ROUND(C71*$B$6/12,2)</x:f>
        <x:v>1981.65</x:v>
      </x:c>
      <x:c r="F71" s="7" t="n">
        <x:f>ROUND(D71-E71,2)</x:f>
        <x:v>761.13</x:v>
      </x:c>
      <x:c r="G71" s="7" t="n">
        <x:f>ROUND(C71-F71,2)</x:f>
        <x:v>370798.49</x:v>
      </x:c>
      <x:c r="H71" s="7" t="n">
        <x:f>ROUND(D71-E71-F71,2)</x:f>
        <x:v>0</x:v>
      </x:c>
      <x:c r="I71" s="1" t="str">
        <x:v>Projection</x:v>
      </x:c>
    </x:row>
    <x:row r="72" ht="21" customHeight="1">
      <x:c r="A72" s="1" t="n">
        <x:v>61</x:v>
      </x:c>
      <x:c r="B72" s="6" t="n">
        <x:v>47695</x:v>
      </x:c>
      <x:c r="C72" s="7" t="n">
        <x:f>G71</x:f>
        <x:v>370798.49</x:v>
      </x:c>
      <x:c r="D72" s="7" t="n">
        <x:f>IF(A72=$B$7,ROUND(C72+E72,2),MIN($B$8,ROUND(C72+E72,2)))</x:f>
        <x:v>2742.78</x:v>
      </x:c>
      <x:c r="E72" s="7" t="n">
        <x:f>ROUND(C72*$B$6/12,2)</x:f>
        <x:v>1977.59</x:v>
      </x:c>
      <x:c r="F72" s="7" t="n">
        <x:f>ROUND(D72-E72,2)</x:f>
        <x:v>765.19</x:v>
      </x:c>
      <x:c r="G72" s="7" t="n">
        <x:f>ROUND(C72-F72,2)</x:f>
        <x:v>370033.3</x:v>
      </x:c>
      <x:c r="H72" s="7" t="n">
        <x:f>ROUND(D72-E72-F72,2)</x:f>
        <x:v>0</x:v>
      </x:c>
      <x:c r="I72" s="1" t="str">
        <x:v>Projection</x:v>
      </x:c>
    </x:row>
    <x:row r="73" ht="21" customHeight="1">
      <x:c r="A73" s="1" t="n">
        <x:v>62</x:v>
      </x:c>
      <x:c r="B73" s="6" t="n">
        <x:v>47726</x:v>
      </x:c>
      <x:c r="C73" s="7" t="n">
        <x:f>G72</x:f>
        <x:v>370033.3</x:v>
      </x:c>
      <x:c r="D73" s="7" t="n">
        <x:f>IF(A73=$B$7,ROUND(C73+E73,2),MIN($B$8,ROUND(C73+E73,2)))</x:f>
        <x:v>2742.78</x:v>
      </x:c>
      <x:c r="E73" s="7" t="n">
        <x:f>ROUND(C73*$B$6/12,2)</x:f>
        <x:v>1973.51</x:v>
      </x:c>
      <x:c r="F73" s="7" t="n">
        <x:f>ROUND(D73-E73,2)</x:f>
        <x:v>769.27</x:v>
      </x:c>
      <x:c r="G73" s="7" t="n">
        <x:f>ROUND(C73-F73,2)</x:f>
        <x:v>369264.03</x:v>
      </x:c>
      <x:c r="H73" s="7" t="n">
        <x:f>ROUND(D73-E73-F73,2)</x:f>
        <x:v>0</x:v>
      </x:c>
      <x:c r="I73" s="1" t="str">
        <x:v>Projection</x:v>
      </x:c>
    </x:row>
    <x:row r="74" ht="21" customHeight="1">
      <x:c r="A74" s="1" t="n">
        <x:v>63</x:v>
      </x:c>
      <x:c r="B74" s="6" t="n">
        <x:v>47756</x:v>
      </x:c>
      <x:c r="C74" s="7" t="n">
        <x:f>G73</x:f>
        <x:v>369264.03</x:v>
      </x:c>
      <x:c r="D74" s="7" t="n">
        <x:f>IF(A74=$B$7,ROUND(C74+E74,2),MIN($B$8,ROUND(C74+E74,2)))</x:f>
        <x:v>2742.78</x:v>
      </x:c>
      <x:c r="E74" s="7" t="n">
        <x:f>ROUND(C74*$B$6/12,2)</x:f>
        <x:v>1969.41</x:v>
      </x:c>
      <x:c r="F74" s="7" t="n">
        <x:f>ROUND(D74-E74,2)</x:f>
        <x:v>773.37</x:v>
      </x:c>
      <x:c r="G74" s="7" t="n">
        <x:f>ROUND(C74-F74,2)</x:f>
        <x:v>368490.66</x:v>
      </x:c>
      <x:c r="H74" s="7" t="n">
        <x:f>ROUND(D74-E74-F74,2)</x:f>
        <x:v>0</x:v>
      </x:c>
      <x:c r="I74" s="1" t="str">
        <x:v>Projection</x:v>
      </x:c>
    </x:row>
    <x:row r="75" ht="21" customHeight="1">
      <x:c r="A75" s="1" t="n">
        <x:v>64</x:v>
      </x:c>
      <x:c r="B75" s="6" t="n">
        <x:v>47787</x:v>
      </x:c>
      <x:c r="C75" s="7" t="n">
        <x:f>G74</x:f>
        <x:v>368490.66</x:v>
      </x:c>
      <x:c r="D75" s="7" t="n">
        <x:f>IF(A75=$B$7,ROUND(C75+E75,2),MIN($B$8,ROUND(C75+E75,2)))</x:f>
        <x:v>2742.78</x:v>
      </x:c>
      <x:c r="E75" s="7" t="n">
        <x:f>ROUND(C75*$B$6/12,2)</x:f>
        <x:v>1965.28</x:v>
      </x:c>
      <x:c r="F75" s="7" t="n">
        <x:f>ROUND(D75-E75,2)</x:f>
        <x:v>777.5</x:v>
      </x:c>
      <x:c r="G75" s="7" t="n">
        <x:f>ROUND(C75-F75,2)</x:f>
        <x:v>367713.16</x:v>
      </x:c>
      <x:c r="H75" s="7" t="n">
        <x:f>ROUND(D75-E75-F75,2)</x:f>
        <x:v>0</x:v>
      </x:c>
      <x:c r="I75" s="1" t="str">
        <x:v>Projection</x:v>
      </x:c>
    </x:row>
    <x:row r="76" ht="21" customHeight="1">
      <x:c r="A76" s="1" t="n">
        <x:v>65</x:v>
      </x:c>
      <x:c r="B76" s="6" t="n">
        <x:v>47817</x:v>
      </x:c>
      <x:c r="C76" s="7" t="n">
        <x:f>G75</x:f>
        <x:v>367713.16</x:v>
      </x:c>
      <x:c r="D76" s="7" t="n">
        <x:f>IF(A76=$B$7,ROUND(C76+E76,2),MIN($B$8,ROUND(C76+E76,2)))</x:f>
        <x:v>2742.78</x:v>
      </x:c>
      <x:c r="E76" s="7" t="n">
        <x:f>ROUND(C76*$B$6/12,2)</x:f>
        <x:v>1961.14</x:v>
      </x:c>
      <x:c r="F76" s="7" t="n">
        <x:f>ROUND(D76-E76,2)</x:f>
        <x:v>781.64</x:v>
      </x:c>
      <x:c r="G76" s="7" t="n">
        <x:f>ROUND(C76-F76,2)</x:f>
        <x:v>366931.52</x:v>
      </x:c>
      <x:c r="H76" s="7" t="n">
        <x:f>ROUND(D76-E76-F76,2)</x:f>
        <x:v>0</x:v>
      </x:c>
      <x:c r="I76" s="1" t="str">
        <x:v>Projection</x:v>
      </x:c>
    </x:row>
    <x:row r="77" ht="21" customHeight="1">
      <x:c r="A77" s="1" t="n">
        <x:v>66</x:v>
      </x:c>
      <x:c r="B77" s="6" t="n">
        <x:v>47848</x:v>
      </x:c>
      <x:c r="C77" s="7" t="n">
        <x:f>G76</x:f>
        <x:v>366931.52</x:v>
      </x:c>
      <x:c r="D77" s="7" t="n">
        <x:f>IF(A77=$B$7,ROUND(C77+E77,2),MIN($B$8,ROUND(C77+E77,2)))</x:f>
        <x:v>2742.78</x:v>
      </x:c>
      <x:c r="E77" s="7" t="n">
        <x:f>ROUND(C77*$B$6/12,2)</x:f>
        <x:v>1956.97</x:v>
      </x:c>
      <x:c r="F77" s="7" t="n">
        <x:f>ROUND(D77-E77,2)</x:f>
        <x:v>785.81</x:v>
      </x:c>
      <x:c r="G77" s="7" t="n">
        <x:f>ROUND(C77-F77,2)</x:f>
        <x:v>366145.71</x:v>
      </x:c>
      <x:c r="H77" s="7" t="n">
        <x:f>ROUND(D77-E77-F77,2)</x:f>
        <x:v>0</x:v>
      </x:c>
      <x:c r="I77" s="1" t="str">
        <x:v>Projection</x:v>
      </x:c>
    </x:row>
    <x:row r="78" ht="21" customHeight="1">
      <x:c r="A78" s="1" t="n">
        <x:v>67</x:v>
      </x:c>
      <x:c r="B78" s="6" t="n">
        <x:v>47879</x:v>
      </x:c>
      <x:c r="C78" s="7" t="n">
        <x:f>G77</x:f>
        <x:v>366145.71</x:v>
      </x:c>
      <x:c r="D78" s="7" t="n">
        <x:f>IF(A78=$B$7,ROUND(C78+E78,2),MIN($B$8,ROUND(C78+E78,2)))</x:f>
        <x:v>2742.78</x:v>
      </x:c>
      <x:c r="E78" s="7" t="n">
        <x:f>ROUND(C78*$B$6/12,2)</x:f>
        <x:v>1952.78</x:v>
      </x:c>
      <x:c r="F78" s="7" t="n">
        <x:f>ROUND(D78-E78,2)</x:f>
        <x:v>790</x:v>
      </x:c>
      <x:c r="G78" s="7" t="n">
        <x:f>ROUND(C78-F78,2)</x:f>
        <x:v>365355.71</x:v>
      </x:c>
      <x:c r="H78" s="7" t="n">
        <x:f>ROUND(D78-E78-F78,2)</x:f>
        <x:v>0</x:v>
      </x:c>
      <x:c r="I78" s="1" t="str">
        <x:v>Projection</x:v>
      </x:c>
    </x:row>
    <x:row r="79" ht="21" customHeight="1">
      <x:c r="A79" s="1" t="n">
        <x:v>68</x:v>
      </x:c>
      <x:c r="B79" s="6" t="n">
        <x:v>47907</x:v>
      </x:c>
      <x:c r="C79" s="7" t="n">
        <x:f>G78</x:f>
        <x:v>365355.71</x:v>
      </x:c>
      <x:c r="D79" s="7" t="n">
        <x:f>IF(A79=$B$7,ROUND(C79+E79,2),MIN($B$8,ROUND(C79+E79,2)))</x:f>
        <x:v>2742.78</x:v>
      </x:c>
      <x:c r="E79" s="7" t="n">
        <x:f>ROUND(C79*$B$6/12,2)</x:f>
        <x:v>1948.56</x:v>
      </x:c>
      <x:c r="F79" s="7" t="n">
        <x:f>ROUND(D79-E79,2)</x:f>
        <x:v>794.22</x:v>
      </x:c>
      <x:c r="G79" s="7" t="n">
        <x:f>ROUND(C79-F79,2)</x:f>
        <x:v>364561.49</x:v>
      </x:c>
      <x:c r="H79" s="7" t="n">
        <x:f>ROUND(D79-E79-F79,2)</x:f>
        <x:v>0</x:v>
      </x:c>
      <x:c r="I79" s="1" t="str">
        <x:v>Projection</x:v>
      </x:c>
    </x:row>
    <x:row r="80" ht="21" customHeight="1">
      <x:c r="A80" s="1" t="n">
        <x:v>69</x:v>
      </x:c>
      <x:c r="B80" s="6" t="n">
        <x:v>47938</x:v>
      </x:c>
      <x:c r="C80" s="7" t="n">
        <x:f>G79</x:f>
        <x:v>364561.49</x:v>
      </x:c>
      <x:c r="D80" s="7" t="n">
        <x:f>IF(A80=$B$7,ROUND(C80+E80,2),MIN($B$8,ROUND(C80+E80,2)))</x:f>
        <x:v>2742.78</x:v>
      </x:c>
      <x:c r="E80" s="7" t="n">
        <x:f>ROUND(C80*$B$6/12,2)</x:f>
        <x:v>1944.33</x:v>
      </x:c>
      <x:c r="F80" s="7" t="n">
        <x:f>ROUND(D80-E80,2)</x:f>
        <x:v>798.45</x:v>
      </x:c>
      <x:c r="G80" s="7" t="n">
        <x:f>ROUND(C80-F80,2)</x:f>
        <x:v>363763.04</x:v>
      </x:c>
      <x:c r="H80" s="7" t="n">
        <x:f>ROUND(D80-E80-F80,2)</x:f>
        <x:v>0</x:v>
      </x:c>
      <x:c r="I80" s="1" t="str">
        <x:v>Projection</x:v>
      </x:c>
    </x:row>
    <x:row r="81" ht="21" customHeight="1">
      <x:c r="A81" s="1" t="n">
        <x:v>70</x:v>
      </x:c>
      <x:c r="B81" s="6" t="n">
        <x:v>47968</x:v>
      </x:c>
      <x:c r="C81" s="7" t="n">
        <x:f>G80</x:f>
        <x:v>363763.04</x:v>
      </x:c>
      <x:c r="D81" s="7" t="n">
        <x:f>IF(A81=$B$7,ROUND(C81+E81,2),MIN($B$8,ROUND(C81+E81,2)))</x:f>
        <x:v>2742.78</x:v>
      </x:c>
      <x:c r="E81" s="7" t="n">
        <x:f>ROUND(C81*$B$6/12,2)</x:f>
        <x:v>1940.07</x:v>
      </x:c>
      <x:c r="F81" s="7" t="n">
        <x:f>ROUND(D81-E81,2)</x:f>
        <x:v>802.71</x:v>
      </x:c>
      <x:c r="G81" s="7" t="n">
        <x:f>ROUND(C81-F81,2)</x:f>
        <x:v>362960.33</x:v>
      </x:c>
      <x:c r="H81" s="7" t="n">
        <x:f>ROUND(D81-E81-F81,2)</x:f>
        <x:v>0</x:v>
      </x:c>
      <x:c r="I81" s="1" t="str">
        <x:v>Projection</x:v>
      </x:c>
    </x:row>
    <x:row r="82" ht="21" customHeight="1">
      <x:c r="A82" s="1" t="n">
        <x:v>71</x:v>
      </x:c>
      <x:c r="B82" s="6" t="n">
        <x:v>47999</x:v>
      </x:c>
      <x:c r="C82" s="7" t="n">
        <x:f>G81</x:f>
        <x:v>362960.33</x:v>
      </x:c>
      <x:c r="D82" s="7" t="n">
        <x:f>IF(A82=$B$7,ROUND(C82+E82,2),MIN($B$8,ROUND(C82+E82,2)))</x:f>
        <x:v>2742.78</x:v>
      </x:c>
      <x:c r="E82" s="7" t="n">
        <x:f>ROUND(C82*$B$6/12,2)</x:f>
        <x:v>1935.79</x:v>
      </x:c>
      <x:c r="F82" s="7" t="n">
        <x:f>ROUND(D82-E82,2)</x:f>
        <x:v>806.99</x:v>
      </x:c>
      <x:c r="G82" s="7" t="n">
        <x:f>ROUND(C82-F82,2)</x:f>
        <x:v>362153.34</x:v>
      </x:c>
      <x:c r="H82" s="7" t="n">
        <x:f>ROUND(D82-E82-F82,2)</x:f>
        <x:v>0</x:v>
      </x:c>
      <x:c r="I82" s="1" t="str">
        <x:v>Projection</x:v>
      </x:c>
    </x:row>
    <x:row r="83" ht="21" customHeight="1">
      <x:c r="A83" s="1" t="n">
        <x:v>72</x:v>
      </x:c>
      <x:c r="B83" s="6" t="n">
        <x:v>48029</x:v>
      </x:c>
      <x:c r="C83" s="7" t="n">
        <x:f>G82</x:f>
        <x:v>362153.34</x:v>
      </x:c>
      <x:c r="D83" s="7" t="n">
        <x:f>IF(A83=$B$7,ROUND(C83+E83,2),MIN($B$8,ROUND(C83+E83,2)))</x:f>
        <x:v>2742.78</x:v>
      </x:c>
      <x:c r="E83" s="7" t="n">
        <x:f>ROUND(C83*$B$6/12,2)</x:f>
        <x:v>1931.48</x:v>
      </x:c>
      <x:c r="F83" s="7" t="n">
        <x:f>ROUND(D83-E83,2)</x:f>
        <x:v>811.3</x:v>
      </x:c>
      <x:c r="G83" s="7" t="n">
        <x:f>ROUND(C83-F83,2)</x:f>
        <x:v>361342.04</x:v>
      </x:c>
      <x:c r="H83" s="7" t="n">
        <x:f>ROUND(D83-E83-F83,2)</x:f>
        <x:v>0</x:v>
      </x:c>
      <x:c r="I83" s="1" t="str">
        <x:v>Projection</x:v>
      </x:c>
    </x:row>
    <x:row r="84" ht="21" customHeight="1">
      <x:c r="A84" s="1" t="n">
        <x:v>73</x:v>
      </x:c>
      <x:c r="B84" s="6" t="n">
        <x:v>48060</x:v>
      </x:c>
      <x:c r="C84" s="7" t="n">
        <x:f>G83</x:f>
        <x:v>361342.04</x:v>
      </x:c>
      <x:c r="D84" s="7" t="n">
        <x:f>IF(A84=$B$7,ROUND(C84+E84,2),MIN($B$8,ROUND(C84+E84,2)))</x:f>
        <x:v>2742.78</x:v>
      </x:c>
      <x:c r="E84" s="7" t="n">
        <x:f>ROUND(C84*$B$6/12,2)</x:f>
        <x:v>1927.16</x:v>
      </x:c>
      <x:c r="F84" s="7" t="n">
        <x:f>ROUND(D84-E84,2)</x:f>
        <x:v>815.62</x:v>
      </x:c>
      <x:c r="G84" s="7" t="n">
        <x:f>ROUND(C84-F84,2)</x:f>
        <x:v>360526.42</x:v>
      </x:c>
      <x:c r="H84" s="7" t="n">
        <x:f>ROUND(D84-E84-F84,2)</x:f>
        <x:v>0</x:v>
      </x:c>
      <x:c r="I84" s="1" t="str">
        <x:v>Projection</x:v>
      </x:c>
    </x:row>
    <x:row r="85" ht="21" customHeight="1">
      <x:c r="A85" s="1" t="n">
        <x:v>74</x:v>
      </x:c>
      <x:c r="B85" s="6" t="n">
        <x:v>48091</x:v>
      </x:c>
      <x:c r="C85" s="7" t="n">
        <x:f>G84</x:f>
        <x:v>360526.42</x:v>
      </x:c>
      <x:c r="D85" s="7" t="n">
        <x:f>IF(A85=$B$7,ROUND(C85+E85,2),MIN($B$8,ROUND(C85+E85,2)))</x:f>
        <x:v>2742.78</x:v>
      </x:c>
      <x:c r="E85" s="7" t="n">
        <x:f>ROUND(C85*$B$6/12,2)</x:f>
        <x:v>1922.81</x:v>
      </x:c>
      <x:c r="F85" s="7" t="n">
        <x:f>ROUND(D85-E85,2)</x:f>
        <x:v>819.97</x:v>
      </x:c>
      <x:c r="G85" s="7" t="n">
        <x:f>ROUND(C85-F85,2)</x:f>
        <x:v>359706.45</x:v>
      </x:c>
      <x:c r="H85" s="7" t="n">
        <x:f>ROUND(D85-E85-F85,2)</x:f>
        <x:v>0</x:v>
      </x:c>
      <x:c r="I85" s="1" t="str">
        <x:v>Projection</x:v>
      </x:c>
    </x:row>
    <x:row r="86" ht="21" customHeight="1">
      <x:c r="A86" s="1" t="n">
        <x:v>75</x:v>
      </x:c>
      <x:c r="B86" s="6" t="n">
        <x:v>48121</x:v>
      </x:c>
      <x:c r="C86" s="7" t="n">
        <x:f>G85</x:f>
        <x:v>359706.45</x:v>
      </x:c>
      <x:c r="D86" s="7" t="n">
        <x:f>IF(A86=$B$7,ROUND(C86+E86,2),MIN($B$8,ROUND(C86+E86,2)))</x:f>
        <x:v>2742.78</x:v>
      </x:c>
      <x:c r="E86" s="7" t="n">
        <x:f>ROUND(C86*$B$6/12,2)</x:f>
        <x:v>1918.43</x:v>
      </x:c>
      <x:c r="F86" s="7" t="n">
        <x:f>ROUND(D86-E86,2)</x:f>
        <x:v>824.35</x:v>
      </x:c>
      <x:c r="G86" s="7" t="n">
        <x:f>ROUND(C86-F86,2)</x:f>
        <x:v>358882.1</x:v>
      </x:c>
      <x:c r="H86" s="7" t="n">
        <x:f>ROUND(D86-E86-F86,2)</x:f>
        <x:v>0</x:v>
      </x:c>
      <x:c r="I86" s="1" t="str">
        <x:v>Projection</x:v>
      </x:c>
    </x:row>
    <x:row r="87" ht="21" customHeight="1">
      <x:c r="A87" s="1" t="n">
        <x:v>76</x:v>
      </x:c>
      <x:c r="B87" s="6" t="n">
        <x:v>48152</x:v>
      </x:c>
      <x:c r="C87" s="7" t="n">
        <x:f>G86</x:f>
        <x:v>358882.1</x:v>
      </x:c>
      <x:c r="D87" s="7" t="n">
        <x:f>IF(A87=$B$7,ROUND(C87+E87,2),MIN($B$8,ROUND(C87+E87,2)))</x:f>
        <x:v>2742.78</x:v>
      </x:c>
      <x:c r="E87" s="7" t="n">
        <x:f>ROUND(C87*$B$6/12,2)</x:f>
        <x:v>1914.04</x:v>
      </x:c>
      <x:c r="F87" s="7" t="n">
        <x:f>ROUND(D87-E87,2)</x:f>
        <x:v>828.74</x:v>
      </x:c>
      <x:c r="G87" s="7" t="n">
        <x:f>ROUND(C87-F87,2)</x:f>
        <x:v>358053.36</x:v>
      </x:c>
      <x:c r="H87" s="7" t="n">
        <x:f>ROUND(D87-E87-F87,2)</x:f>
        <x:v>0</x:v>
      </x:c>
      <x:c r="I87" s="1" t="str">
        <x:v>Projection</x:v>
      </x:c>
    </x:row>
    <x:row r="88" ht="21" customHeight="1">
      <x:c r="A88" s="1" t="n">
        <x:v>77</x:v>
      </x:c>
      <x:c r="B88" s="6" t="n">
        <x:v>48182</x:v>
      </x:c>
      <x:c r="C88" s="7" t="n">
        <x:f>G87</x:f>
        <x:v>358053.36</x:v>
      </x:c>
      <x:c r="D88" s="7" t="n">
        <x:f>IF(A88=$B$7,ROUND(C88+E88,2),MIN($B$8,ROUND(C88+E88,2)))</x:f>
        <x:v>2742.78</x:v>
      </x:c>
      <x:c r="E88" s="7" t="n">
        <x:f>ROUND(C88*$B$6/12,2)</x:f>
        <x:v>1909.62</x:v>
      </x:c>
      <x:c r="F88" s="7" t="n">
        <x:f>ROUND(D88-E88,2)</x:f>
        <x:v>833.16</x:v>
      </x:c>
      <x:c r="G88" s="7" t="n">
        <x:f>ROUND(C88-F88,2)</x:f>
        <x:v>357220.2</x:v>
      </x:c>
      <x:c r="H88" s="7" t="n">
        <x:f>ROUND(D88-E88-F88,2)</x:f>
        <x:v>0</x:v>
      </x:c>
      <x:c r="I88" s="1" t="str">
        <x:v>Projection</x:v>
      </x:c>
    </x:row>
    <x:row r="89" ht="21" customHeight="1">
      <x:c r="A89" s="1" t="n">
        <x:v>78</x:v>
      </x:c>
      <x:c r="B89" s="6" t="n">
        <x:v>48213</x:v>
      </x:c>
      <x:c r="C89" s="7" t="n">
        <x:f>G88</x:f>
        <x:v>357220.2</x:v>
      </x:c>
      <x:c r="D89" s="7" t="n">
        <x:f>IF(A89=$B$7,ROUND(C89+E89,2),MIN($B$8,ROUND(C89+E89,2)))</x:f>
        <x:v>2742.78</x:v>
      </x:c>
      <x:c r="E89" s="7" t="n">
        <x:f>ROUND(C89*$B$6/12,2)</x:f>
        <x:v>1905.17</x:v>
      </x:c>
      <x:c r="F89" s="7" t="n">
        <x:f>ROUND(D89-E89,2)</x:f>
        <x:v>837.61</x:v>
      </x:c>
      <x:c r="G89" s="7" t="n">
        <x:f>ROUND(C89-F89,2)</x:f>
        <x:v>356382.59</x:v>
      </x:c>
      <x:c r="H89" s="7" t="n">
        <x:f>ROUND(D89-E89-F89,2)</x:f>
        <x:v>0</x:v>
      </x:c>
      <x:c r="I89" s="1" t="str">
        <x:v>Projection</x:v>
      </x:c>
    </x:row>
    <x:row r="90" ht="21" customHeight="1">
      <x:c r="A90" s="1" t="n">
        <x:v>79</x:v>
      </x:c>
      <x:c r="B90" s="6" t="n">
        <x:v>48244</x:v>
      </x:c>
      <x:c r="C90" s="7" t="n">
        <x:f>G89</x:f>
        <x:v>356382.59</x:v>
      </x:c>
      <x:c r="D90" s="7" t="n">
        <x:f>IF(A90=$B$7,ROUND(C90+E90,2),MIN($B$8,ROUND(C90+E90,2)))</x:f>
        <x:v>2742.78</x:v>
      </x:c>
      <x:c r="E90" s="7" t="n">
        <x:f>ROUND(C90*$B$6/12,2)</x:f>
        <x:v>1900.71</x:v>
      </x:c>
      <x:c r="F90" s="7" t="n">
        <x:f>ROUND(D90-E90,2)</x:f>
        <x:v>842.07</x:v>
      </x:c>
      <x:c r="G90" s="7" t="n">
        <x:f>ROUND(C90-F90,2)</x:f>
        <x:v>355540.52</x:v>
      </x:c>
      <x:c r="H90" s="7" t="n">
        <x:f>ROUND(D90-E90-F90,2)</x:f>
        <x:v>0</x:v>
      </x:c>
      <x:c r="I90" s="1" t="str">
        <x:v>Projection</x:v>
      </x:c>
    </x:row>
    <x:row r="91" ht="21" customHeight="1">
      <x:c r="A91" s="1" t="n">
        <x:v>80</x:v>
      </x:c>
      <x:c r="B91" s="6" t="n">
        <x:v>48273</x:v>
      </x:c>
      <x:c r="C91" s="7" t="n">
        <x:f>G90</x:f>
        <x:v>355540.52</x:v>
      </x:c>
      <x:c r="D91" s="7" t="n">
        <x:f>IF(A91=$B$7,ROUND(C91+E91,2),MIN($B$8,ROUND(C91+E91,2)))</x:f>
        <x:v>2742.78</x:v>
      </x:c>
      <x:c r="E91" s="7" t="n">
        <x:f>ROUND(C91*$B$6/12,2)</x:f>
        <x:v>1896.22</x:v>
      </x:c>
      <x:c r="F91" s="7" t="n">
        <x:f>ROUND(D91-E91,2)</x:f>
        <x:v>846.56</x:v>
      </x:c>
      <x:c r="G91" s="7" t="n">
        <x:f>ROUND(C91-F91,2)</x:f>
        <x:v>354693.96</x:v>
      </x:c>
      <x:c r="H91" s="7" t="n">
        <x:f>ROUND(D91-E91-F91,2)</x:f>
        <x:v>0</x:v>
      </x:c>
      <x:c r="I91" s="1" t="str">
        <x:v>Projection</x:v>
      </x:c>
    </x:row>
    <x:row r="92" ht="21" customHeight="1">
      <x:c r="A92" s="1" t="n">
        <x:v>81</x:v>
      </x:c>
      <x:c r="B92" s="6" t="n">
        <x:v>48304</x:v>
      </x:c>
      <x:c r="C92" s="7" t="n">
        <x:f>G91</x:f>
        <x:v>354693.96</x:v>
      </x:c>
      <x:c r="D92" s="7" t="n">
        <x:f>IF(A92=$B$7,ROUND(C92+E92,2),MIN($B$8,ROUND(C92+E92,2)))</x:f>
        <x:v>2742.78</x:v>
      </x:c>
      <x:c r="E92" s="7" t="n">
        <x:f>ROUND(C92*$B$6/12,2)</x:f>
        <x:v>1891.7</x:v>
      </x:c>
      <x:c r="F92" s="7" t="n">
        <x:f>ROUND(D92-E92,2)</x:f>
        <x:v>851.08</x:v>
      </x:c>
      <x:c r="G92" s="7" t="n">
        <x:f>ROUND(C92-F92,2)</x:f>
        <x:v>353842.88</x:v>
      </x:c>
      <x:c r="H92" s="7" t="n">
        <x:f>ROUND(D92-E92-F92,2)</x:f>
        <x:v>0</x:v>
      </x:c>
      <x:c r="I92" s="1" t="str">
        <x:v>Projection</x:v>
      </x:c>
    </x:row>
    <x:row r="93" ht="21" customHeight="1">
      <x:c r="A93" s="1" t="n">
        <x:v>82</x:v>
      </x:c>
      <x:c r="B93" s="6" t="n">
        <x:v>48334</x:v>
      </x:c>
      <x:c r="C93" s="7" t="n">
        <x:f>G92</x:f>
        <x:v>353842.88</x:v>
      </x:c>
      <x:c r="D93" s="7" t="n">
        <x:f>IF(A93=$B$7,ROUND(C93+E93,2),MIN($B$8,ROUND(C93+E93,2)))</x:f>
        <x:v>2742.78</x:v>
      </x:c>
      <x:c r="E93" s="7" t="n">
        <x:f>ROUND(C93*$B$6/12,2)</x:f>
        <x:v>1887.16</x:v>
      </x:c>
      <x:c r="F93" s="7" t="n">
        <x:f>ROUND(D93-E93,2)</x:f>
        <x:v>855.62</x:v>
      </x:c>
      <x:c r="G93" s="7" t="n">
        <x:f>ROUND(C93-F93,2)</x:f>
        <x:v>352987.26</x:v>
      </x:c>
      <x:c r="H93" s="7" t="n">
        <x:f>ROUND(D93-E93-F93,2)</x:f>
        <x:v>0</x:v>
      </x:c>
      <x:c r="I93" s="1" t="str">
        <x:v>Projection</x:v>
      </x:c>
    </x:row>
    <x:row r="94" ht="21" customHeight="1">
      <x:c r="A94" s="1" t="n">
        <x:v>83</x:v>
      </x:c>
      <x:c r="B94" s="6" t="n">
        <x:v>48365</x:v>
      </x:c>
      <x:c r="C94" s="7" t="n">
        <x:f>G93</x:f>
        <x:v>352987.26</x:v>
      </x:c>
      <x:c r="D94" s="7" t="n">
        <x:f>IF(A94=$B$7,ROUND(C94+E94,2),MIN($B$8,ROUND(C94+E94,2)))</x:f>
        <x:v>2742.78</x:v>
      </x:c>
      <x:c r="E94" s="7" t="n">
        <x:f>ROUND(C94*$B$6/12,2)</x:f>
        <x:v>1882.6</x:v>
      </x:c>
      <x:c r="F94" s="7" t="n">
        <x:f>ROUND(D94-E94,2)</x:f>
        <x:v>860.18</x:v>
      </x:c>
      <x:c r="G94" s="7" t="n">
        <x:f>ROUND(C94-F94,2)</x:f>
        <x:v>352127.08</x:v>
      </x:c>
      <x:c r="H94" s="7" t="n">
        <x:f>ROUND(D94-E94-F94,2)</x:f>
        <x:v>0</x:v>
      </x:c>
      <x:c r="I94" s="1" t="str">
        <x:v>Projection</x:v>
      </x:c>
    </x:row>
    <x:row r="95" ht="21" customHeight="1">
      <x:c r="A95" s="1" t="n">
        <x:v>84</x:v>
      </x:c>
      <x:c r="B95" s="6" t="n">
        <x:v>48395</x:v>
      </x:c>
      <x:c r="C95" s="7" t="n">
        <x:f>G94</x:f>
        <x:v>352127.08</x:v>
      </x:c>
      <x:c r="D95" s="7" t="n">
        <x:f>IF(A95=$B$7,ROUND(C95+E95,2),MIN($B$8,ROUND(C95+E95,2)))</x:f>
        <x:v>2742.78</x:v>
      </x:c>
      <x:c r="E95" s="7" t="n">
        <x:f>ROUND(C95*$B$6/12,2)</x:f>
        <x:v>1878.01</x:v>
      </x:c>
      <x:c r="F95" s="7" t="n">
        <x:f>ROUND(D95-E95,2)</x:f>
        <x:v>864.77</x:v>
      </x:c>
      <x:c r="G95" s="7" t="n">
        <x:f>ROUND(C95-F95,2)</x:f>
        <x:v>351262.31</x:v>
      </x:c>
      <x:c r="H95" s="7" t="n">
        <x:f>ROUND(D95-E95-F95,2)</x:f>
        <x:v>0</x:v>
      </x:c>
      <x:c r="I95" s="1" t="str">
        <x:v>Projection</x:v>
      </x:c>
    </x:row>
    <x:row r="96" ht="21" customHeight="1">
      <x:c r="A96" s="1" t="n">
        <x:v>85</x:v>
      </x:c>
      <x:c r="B96" s="6" t="n">
        <x:v>48426</x:v>
      </x:c>
      <x:c r="C96" s="7" t="n">
        <x:f>G95</x:f>
        <x:v>351262.31</x:v>
      </x:c>
      <x:c r="D96" s="7" t="n">
        <x:f>IF(A96=$B$7,ROUND(C96+E96,2),MIN($B$8,ROUND(C96+E96,2)))</x:f>
        <x:v>2742.78</x:v>
      </x:c>
      <x:c r="E96" s="7" t="n">
        <x:f>ROUND(C96*$B$6/12,2)</x:f>
        <x:v>1873.4</x:v>
      </x:c>
      <x:c r="F96" s="7" t="n">
        <x:f>ROUND(D96-E96,2)</x:f>
        <x:v>869.38</x:v>
      </x:c>
      <x:c r="G96" s="7" t="n">
        <x:f>ROUND(C96-F96,2)</x:f>
        <x:v>350392.93</x:v>
      </x:c>
      <x:c r="H96" s="7" t="n">
        <x:f>ROUND(D96-E96-F96,2)</x:f>
        <x:v>0</x:v>
      </x:c>
      <x:c r="I96" s="1" t="str">
        <x:v>Projection</x:v>
      </x:c>
    </x:row>
    <x:row r="97" ht="21" customHeight="1">
      <x:c r="A97" s="1" t="n">
        <x:v>86</x:v>
      </x:c>
      <x:c r="B97" s="6" t="n">
        <x:v>48457</x:v>
      </x:c>
      <x:c r="C97" s="7" t="n">
        <x:f>G96</x:f>
        <x:v>350392.93</x:v>
      </x:c>
      <x:c r="D97" s="7" t="n">
        <x:f>IF(A97=$B$7,ROUND(C97+E97,2),MIN($B$8,ROUND(C97+E97,2)))</x:f>
        <x:v>2742.78</x:v>
      </x:c>
      <x:c r="E97" s="7" t="n">
        <x:f>ROUND(C97*$B$6/12,2)</x:f>
        <x:v>1868.76</x:v>
      </x:c>
      <x:c r="F97" s="7" t="n">
        <x:f>ROUND(D97-E97,2)</x:f>
        <x:v>874.02</x:v>
      </x:c>
      <x:c r="G97" s="7" t="n">
        <x:f>ROUND(C97-F97,2)</x:f>
        <x:v>349518.91</x:v>
      </x:c>
      <x:c r="H97" s="7" t="n">
        <x:f>ROUND(D97-E97-F97,2)</x:f>
        <x:v>0</x:v>
      </x:c>
      <x:c r="I97" s="1" t="str">
        <x:v>Projection</x:v>
      </x:c>
    </x:row>
    <x:row r="98" ht="21" customHeight="1">
      <x:c r="A98" s="1" t="n">
        <x:v>87</x:v>
      </x:c>
      <x:c r="B98" s="6" t="n">
        <x:v>48487</x:v>
      </x:c>
      <x:c r="C98" s="7" t="n">
        <x:f>G97</x:f>
        <x:v>349518.91</x:v>
      </x:c>
      <x:c r="D98" s="7" t="n">
        <x:f>IF(A98=$B$7,ROUND(C98+E98,2),MIN($B$8,ROUND(C98+E98,2)))</x:f>
        <x:v>2742.78</x:v>
      </x:c>
      <x:c r="E98" s="7" t="n">
        <x:f>ROUND(C98*$B$6/12,2)</x:f>
        <x:v>1864.1</x:v>
      </x:c>
      <x:c r="F98" s="7" t="n">
        <x:f>ROUND(D98-E98,2)</x:f>
        <x:v>878.68</x:v>
      </x:c>
      <x:c r="G98" s="7" t="n">
        <x:f>ROUND(C98-F98,2)</x:f>
        <x:v>348640.23</x:v>
      </x:c>
      <x:c r="H98" s="7" t="n">
        <x:f>ROUND(D98-E98-F98,2)</x:f>
        <x:v>0</x:v>
      </x:c>
      <x:c r="I98" s="1" t="str">
        <x:v>Projection</x:v>
      </x:c>
    </x:row>
    <x:row r="99" ht="21" customHeight="1">
      <x:c r="A99" s="1" t="n">
        <x:v>88</x:v>
      </x:c>
      <x:c r="B99" s="6" t="n">
        <x:v>48518</x:v>
      </x:c>
      <x:c r="C99" s="7" t="n">
        <x:f>G98</x:f>
        <x:v>348640.23</x:v>
      </x:c>
      <x:c r="D99" s="7" t="n">
        <x:f>IF(A99=$B$7,ROUND(C99+E99,2),MIN($B$8,ROUND(C99+E99,2)))</x:f>
        <x:v>2742.78</x:v>
      </x:c>
      <x:c r="E99" s="7" t="n">
        <x:f>ROUND(C99*$B$6/12,2)</x:f>
        <x:v>1859.41</x:v>
      </x:c>
      <x:c r="F99" s="7" t="n">
        <x:f>ROUND(D99-E99,2)</x:f>
        <x:v>883.37</x:v>
      </x:c>
      <x:c r="G99" s="7" t="n">
        <x:f>ROUND(C99-F99,2)</x:f>
        <x:v>347756.86</x:v>
      </x:c>
      <x:c r="H99" s="7" t="n">
        <x:f>ROUND(D99-E99-F99,2)</x:f>
        <x:v>0</x:v>
      </x:c>
      <x:c r="I99" s="1" t="str">
        <x:v>Projection</x:v>
      </x:c>
    </x:row>
    <x:row r="100" ht="21" customHeight="1">
      <x:c r="A100" s="1" t="n">
        <x:v>89</x:v>
      </x:c>
      <x:c r="B100" s="6" t="n">
        <x:v>48548</x:v>
      </x:c>
      <x:c r="C100" s="7" t="n">
        <x:f>G99</x:f>
        <x:v>347756.86</x:v>
      </x:c>
      <x:c r="D100" s="7" t="n">
        <x:f>IF(A100=$B$7,ROUND(C100+E100,2),MIN($B$8,ROUND(C100+E100,2)))</x:f>
        <x:v>2742.78</x:v>
      </x:c>
      <x:c r="E100" s="7" t="n">
        <x:f>ROUND(C100*$B$6/12,2)</x:f>
        <x:v>1854.7</x:v>
      </x:c>
      <x:c r="F100" s="7" t="n">
        <x:f>ROUND(D100-E100,2)</x:f>
        <x:v>888.08</x:v>
      </x:c>
      <x:c r="G100" s="7" t="n">
        <x:f>ROUND(C100-F100,2)</x:f>
        <x:v>346868.78</x:v>
      </x:c>
      <x:c r="H100" s="7" t="n">
        <x:f>ROUND(D100-E100-F100,2)</x:f>
        <x:v>0</x:v>
      </x:c>
      <x:c r="I100" s="1" t="str">
        <x:v>Projection</x:v>
      </x:c>
    </x:row>
    <x:row r="101" ht="21" customHeight="1">
      <x:c r="A101" s="1" t="n">
        <x:v>90</x:v>
      </x:c>
      <x:c r="B101" s="6" t="n">
        <x:v>48579</x:v>
      </x:c>
      <x:c r="C101" s="7" t="n">
        <x:f>G100</x:f>
        <x:v>346868.78</x:v>
      </x:c>
      <x:c r="D101" s="7" t="n">
        <x:f>IF(A101=$B$7,ROUND(C101+E101,2),MIN($B$8,ROUND(C101+E101,2)))</x:f>
        <x:v>2742.78</x:v>
      </x:c>
      <x:c r="E101" s="7" t="n">
        <x:f>ROUND(C101*$B$6/12,2)</x:f>
        <x:v>1849.97</x:v>
      </x:c>
      <x:c r="F101" s="7" t="n">
        <x:f>ROUND(D101-E101,2)</x:f>
        <x:v>892.81</x:v>
      </x:c>
      <x:c r="G101" s="7" t="n">
        <x:f>ROUND(C101-F101,2)</x:f>
        <x:v>345975.97</x:v>
      </x:c>
      <x:c r="H101" s="7" t="n">
        <x:f>ROUND(D101-E101-F101,2)</x:f>
        <x:v>0</x:v>
      </x:c>
      <x:c r="I101" s="1" t="str">
        <x:v>Projection</x:v>
      </x:c>
    </x:row>
    <x:row r="102" ht="21" customHeight="1">
      <x:c r="A102" s="1" t="n">
        <x:v>91</x:v>
      </x:c>
      <x:c r="B102" s="6" t="n">
        <x:v>48610</x:v>
      </x:c>
      <x:c r="C102" s="7" t="n">
        <x:f>G101</x:f>
        <x:v>345975.97</x:v>
      </x:c>
      <x:c r="D102" s="7" t="n">
        <x:f>IF(A102=$B$7,ROUND(C102+E102,2),MIN($B$8,ROUND(C102+E102,2)))</x:f>
        <x:v>2742.78</x:v>
      </x:c>
      <x:c r="E102" s="7" t="n">
        <x:f>ROUND(C102*$B$6/12,2)</x:f>
        <x:v>1845.21</x:v>
      </x:c>
      <x:c r="F102" s="7" t="n">
        <x:f>ROUND(D102-E102,2)</x:f>
        <x:v>897.57</x:v>
      </x:c>
      <x:c r="G102" s="7" t="n">
        <x:f>ROUND(C102-F102,2)</x:f>
        <x:v>345078.4</x:v>
      </x:c>
      <x:c r="H102" s="7" t="n">
        <x:f>ROUND(D102-E102-F102,2)</x:f>
        <x:v>0</x:v>
      </x:c>
      <x:c r="I102" s="1" t="str">
        <x:v>Projection</x:v>
      </x:c>
    </x:row>
    <x:row r="103" ht="21" customHeight="1">
      <x:c r="A103" s="1" t="n">
        <x:v>92</x:v>
      </x:c>
      <x:c r="B103" s="6" t="n">
        <x:v>48638</x:v>
      </x:c>
      <x:c r="C103" s="7" t="n">
        <x:f>G102</x:f>
        <x:v>345078.4</x:v>
      </x:c>
      <x:c r="D103" s="7" t="n">
        <x:f>IF(A103=$B$7,ROUND(C103+E103,2),MIN($B$8,ROUND(C103+E103,2)))</x:f>
        <x:v>2742.78</x:v>
      </x:c>
      <x:c r="E103" s="7" t="n">
        <x:f>ROUND(C103*$B$6/12,2)</x:f>
        <x:v>1840.42</x:v>
      </x:c>
      <x:c r="F103" s="7" t="n">
        <x:f>ROUND(D103-E103,2)</x:f>
        <x:v>902.36</x:v>
      </x:c>
      <x:c r="G103" s="7" t="n">
        <x:f>ROUND(C103-F103,2)</x:f>
        <x:v>344176.04</x:v>
      </x:c>
      <x:c r="H103" s="7" t="n">
        <x:f>ROUND(D103-E103-F103,2)</x:f>
        <x:v>0</x:v>
      </x:c>
      <x:c r="I103" s="1" t="str">
        <x:v>Projection</x:v>
      </x:c>
    </x:row>
    <x:row r="104" ht="21" customHeight="1">
      <x:c r="A104" s="1" t="n">
        <x:v>93</x:v>
      </x:c>
      <x:c r="B104" s="6" t="n">
        <x:v>48669</x:v>
      </x:c>
      <x:c r="C104" s="7" t="n">
        <x:f>G103</x:f>
        <x:v>344176.04</x:v>
      </x:c>
      <x:c r="D104" s="7" t="n">
        <x:f>IF(A104=$B$7,ROUND(C104+E104,2),MIN($B$8,ROUND(C104+E104,2)))</x:f>
        <x:v>2742.78</x:v>
      </x:c>
      <x:c r="E104" s="7" t="n">
        <x:f>ROUND(C104*$B$6/12,2)</x:f>
        <x:v>1835.61</x:v>
      </x:c>
      <x:c r="F104" s="7" t="n">
        <x:f>ROUND(D104-E104,2)</x:f>
        <x:v>907.17</x:v>
      </x:c>
      <x:c r="G104" s="7" t="n">
        <x:f>ROUND(C104-F104,2)</x:f>
        <x:v>343268.87</x:v>
      </x:c>
      <x:c r="H104" s="7" t="n">
        <x:f>ROUND(D104-E104-F104,2)</x:f>
        <x:v>0</x:v>
      </x:c>
      <x:c r="I104" s="1" t="str">
        <x:v>Projection</x:v>
      </x:c>
    </x:row>
    <x:row r="105" ht="21" customHeight="1">
      <x:c r="A105" s="1" t="n">
        <x:v>94</x:v>
      </x:c>
      <x:c r="B105" s="6" t="n">
        <x:v>48699</x:v>
      </x:c>
      <x:c r="C105" s="7" t="n">
        <x:f>G104</x:f>
        <x:v>343268.87</x:v>
      </x:c>
      <x:c r="D105" s="7" t="n">
        <x:f>IF(A105=$B$7,ROUND(C105+E105,2),MIN($B$8,ROUND(C105+E105,2)))</x:f>
        <x:v>2742.78</x:v>
      </x:c>
      <x:c r="E105" s="7" t="n">
        <x:f>ROUND(C105*$B$6/12,2)</x:f>
        <x:v>1830.77</x:v>
      </x:c>
      <x:c r="F105" s="7" t="n">
        <x:f>ROUND(D105-E105,2)</x:f>
        <x:v>912.01</x:v>
      </x:c>
      <x:c r="G105" s="7" t="n">
        <x:f>ROUND(C105-F105,2)</x:f>
        <x:v>342356.86</x:v>
      </x:c>
      <x:c r="H105" s="7" t="n">
        <x:f>ROUND(D105-E105-F105,2)</x:f>
        <x:v>0</x:v>
      </x:c>
      <x:c r="I105" s="1" t="str">
        <x:v>Projection</x:v>
      </x:c>
    </x:row>
    <x:row r="106" ht="21" customHeight="1">
      <x:c r="A106" s="1" t="n">
        <x:v>95</x:v>
      </x:c>
      <x:c r="B106" s="6" t="n">
        <x:v>48730</x:v>
      </x:c>
      <x:c r="C106" s="7" t="n">
        <x:f>G105</x:f>
        <x:v>342356.86</x:v>
      </x:c>
      <x:c r="D106" s="7" t="n">
        <x:f>IF(A106=$B$7,ROUND(C106+E106,2),MIN($B$8,ROUND(C106+E106,2)))</x:f>
        <x:v>2742.78</x:v>
      </x:c>
      <x:c r="E106" s="7" t="n">
        <x:f>ROUND(C106*$B$6/12,2)</x:f>
        <x:v>1825.9</x:v>
      </x:c>
      <x:c r="F106" s="7" t="n">
        <x:f>ROUND(D106-E106,2)</x:f>
        <x:v>916.88</x:v>
      </x:c>
      <x:c r="G106" s="7" t="n">
        <x:f>ROUND(C106-F106,2)</x:f>
        <x:v>341439.98</x:v>
      </x:c>
      <x:c r="H106" s="7" t="n">
        <x:f>ROUND(D106-E106-F106,2)</x:f>
        <x:v>0</x:v>
      </x:c>
      <x:c r="I106" s="1" t="str">
        <x:v>Projection</x:v>
      </x:c>
    </x:row>
    <x:row r="107" ht="21" customHeight="1">
      <x:c r="A107" s="1" t="n">
        <x:v>96</x:v>
      </x:c>
      <x:c r="B107" s="6" t="n">
        <x:v>48760</x:v>
      </x:c>
      <x:c r="C107" s="7" t="n">
        <x:f>G106</x:f>
        <x:v>341439.98</x:v>
      </x:c>
      <x:c r="D107" s="7" t="n">
        <x:f>IF(A107=$B$7,ROUND(C107+E107,2),MIN($B$8,ROUND(C107+E107,2)))</x:f>
        <x:v>2742.78</x:v>
      </x:c>
      <x:c r="E107" s="7" t="n">
        <x:f>ROUND(C107*$B$6/12,2)</x:f>
        <x:v>1821.01</x:v>
      </x:c>
      <x:c r="F107" s="7" t="n">
        <x:f>ROUND(D107-E107,2)</x:f>
        <x:v>921.77</x:v>
      </x:c>
      <x:c r="G107" s="7" t="n">
        <x:f>ROUND(C107-F107,2)</x:f>
        <x:v>340518.21</x:v>
      </x:c>
      <x:c r="H107" s="7" t="n">
        <x:f>ROUND(D107-E107-F107,2)</x:f>
        <x:v>0</x:v>
      </x:c>
      <x:c r="I107" s="1" t="str">
        <x:v>Projection</x:v>
      </x:c>
    </x:row>
    <x:row r="108" ht="21" customHeight="1">
      <x:c r="A108" s="1" t="n">
        <x:v>97</x:v>
      </x:c>
      <x:c r="B108" s="6" t="n">
        <x:v>48791</x:v>
      </x:c>
      <x:c r="C108" s="7" t="n">
        <x:f>G107</x:f>
        <x:v>340518.21</x:v>
      </x:c>
      <x:c r="D108" s="7" t="n">
        <x:f>IF(A108=$B$7,ROUND(C108+E108,2),MIN($B$8,ROUND(C108+E108,2)))</x:f>
        <x:v>2742.78</x:v>
      </x:c>
      <x:c r="E108" s="7" t="n">
        <x:f>ROUND(C108*$B$6/12,2)</x:f>
        <x:v>1816.1</x:v>
      </x:c>
      <x:c r="F108" s="7" t="n">
        <x:f>ROUND(D108-E108,2)</x:f>
        <x:v>926.68</x:v>
      </x:c>
      <x:c r="G108" s="7" t="n">
        <x:f>ROUND(C108-F108,2)</x:f>
        <x:v>339591.53</x:v>
      </x:c>
      <x:c r="H108" s="7" t="n">
        <x:f>ROUND(D108-E108-F108,2)</x:f>
        <x:v>0</x:v>
      </x:c>
      <x:c r="I108" s="1" t="str">
        <x:v>Projection</x:v>
      </x:c>
    </x:row>
    <x:row r="109" ht="21" customHeight="1">
      <x:c r="A109" s="1" t="n">
        <x:v>98</x:v>
      </x:c>
      <x:c r="B109" s="6" t="n">
        <x:v>48822</x:v>
      </x:c>
      <x:c r="C109" s="7" t="n">
        <x:f>G108</x:f>
        <x:v>339591.53</x:v>
      </x:c>
      <x:c r="D109" s="7" t="n">
        <x:f>IF(A109=$B$7,ROUND(C109+E109,2),MIN($B$8,ROUND(C109+E109,2)))</x:f>
        <x:v>2742.78</x:v>
      </x:c>
      <x:c r="E109" s="7" t="n">
        <x:f>ROUND(C109*$B$6/12,2)</x:f>
        <x:v>1811.15</x:v>
      </x:c>
      <x:c r="F109" s="7" t="n">
        <x:f>ROUND(D109-E109,2)</x:f>
        <x:v>931.63</x:v>
      </x:c>
      <x:c r="G109" s="7" t="n">
        <x:f>ROUND(C109-F109,2)</x:f>
        <x:v>338659.9</x:v>
      </x:c>
      <x:c r="H109" s="7" t="n">
        <x:f>ROUND(D109-E109-F109,2)</x:f>
        <x:v>0</x:v>
      </x:c>
      <x:c r="I109" s="1" t="str">
        <x:v>Projection</x:v>
      </x:c>
    </x:row>
    <x:row r="110" ht="21" customHeight="1">
      <x:c r="A110" s="1" t="n">
        <x:v>99</x:v>
      </x:c>
      <x:c r="B110" s="6" t="n">
        <x:v>48852</x:v>
      </x:c>
      <x:c r="C110" s="7" t="n">
        <x:f>G109</x:f>
        <x:v>338659.9</x:v>
      </x:c>
      <x:c r="D110" s="7" t="n">
        <x:f>IF(A110=$B$7,ROUND(C110+E110,2),MIN($B$8,ROUND(C110+E110,2)))</x:f>
        <x:v>2742.78</x:v>
      </x:c>
      <x:c r="E110" s="7" t="n">
        <x:f>ROUND(C110*$B$6/12,2)</x:f>
        <x:v>1806.19</x:v>
      </x:c>
      <x:c r="F110" s="7" t="n">
        <x:f>ROUND(D110-E110,2)</x:f>
        <x:v>936.59</x:v>
      </x:c>
      <x:c r="G110" s="7" t="n">
        <x:f>ROUND(C110-F110,2)</x:f>
        <x:v>337723.31</x:v>
      </x:c>
      <x:c r="H110" s="7" t="n">
        <x:f>ROUND(D110-E110-F110,2)</x:f>
        <x:v>0</x:v>
      </x:c>
      <x:c r="I110" s="1" t="str">
        <x:v>Projection</x:v>
      </x:c>
    </x:row>
    <x:row r="111" ht="21" customHeight="1">
      <x:c r="A111" s="1" t="n">
        <x:v>100</x:v>
      </x:c>
      <x:c r="B111" s="6" t="n">
        <x:v>48883</x:v>
      </x:c>
      <x:c r="C111" s="7" t="n">
        <x:f>G110</x:f>
        <x:v>337723.31</x:v>
      </x:c>
      <x:c r="D111" s="7" t="n">
        <x:f>IF(A111=$B$7,ROUND(C111+E111,2),MIN($B$8,ROUND(C111+E111,2)))</x:f>
        <x:v>2742.78</x:v>
      </x:c>
      <x:c r="E111" s="7" t="n">
        <x:f>ROUND(C111*$B$6/12,2)</x:f>
        <x:v>1801.19</x:v>
      </x:c>
      <x:c r="F111" s="7" t="n">
        <x:f>ROUND(D111-E111,2)</x:f>
        <x:v>941.59</x:v>
      </x:c>
      <x:c r="G111" s="7" t="n">
        <x:f>ROUND(C111-F111,2)</x:f>
        <x:v>336781.72</x:v>
      </x:c>
      <x:c r="H111" s="7" t="n">
        <x:f>ROUND(D111-E111-F111,2)</x:f>
        <x:v>0</x:v>
      </x:c>
      <x:c r="I111" s="1" t="str">
        <x:v>Projection</x:v>
      </x:c>
    </x:row>
    <x:row r="112" ht="21" customHeight="1">
      <x:c r="A112" s="1" t="n">
        <x:v>101</x:v>
      </x:c>
      <x:c r="B112" s="6" t="n">
        <x:v>48913</x:v>
      </x:c>
      <x:c r="C112" s="7" t="n">
        <x:f>G111</x:f>
        <x:v>336781.72</x:v>
      </x:c>
      <x:c r="D112" s="7" t="n">
        <x:f>IF(A112=$B$7,ROUND(C112+E112,2),MIN($B$8,ROUND(C112+E112,2)))</x:f>
        <x:v>2742.78</x:v>
      </x:c>
      <x:c r="E112" s="7" t="n">
        <x:f>ROUND(C112*$B$6/12,2)</x:f>
        <x:v>1796.17</x:v>
      </x:c>
      <x:c r="F112" s="7" t="n">
        <x:f>ROUND(D112-E112,2)</x:f>
        <x:v>946.61</x:v>
      </x:c>
      <x:c r="G112" s="7" t="n">
        <x:f>ROUND(C112-F112,2)</x:f>
        <x:v>335835.11</x:v>
      </x:c>
      <x:c r="H112" s="7" t="n">
        <x:f>ROUND(D112-E112-F112,2)</x:f>
        <x:v>0</x:v>
      </x:c>
      <x:c r="I112" s="1" t="str">
        <x:v>Projection</x:v>
      </x:c>
    </x:row>
    <x:row r="113" ht="21" customHeight="1">
      <x:c r="A113" s="1" t="n">
        <x:v>102</x:v>
      </x:c>
      <x:c r="B113" s="6" t="n">
        <x:v>48944</x:v>
      </x:c>
      <x:c r="C113" s="7" t="n">
        <x:f>G112</x:f>
        <x:v>335835.11</x:v>
      </x:c>
      <x:c r="D113" s="7" t="n">
        <x:f>IF(A113=$B$7,ROUND(C113+E113,2),MIN($B$8,ROUND(C113+E113,2)))</x:f>
        <x:v>2742.78</x:v>
      </x:c>
      <x:c r="E113" s="7" t="n">
        <x:f>ROUND(C113*$B$6/12,2)</x:f>
        <x:v>1791.12</x:v>
      </x:c>
      <x:c r="F113" s="7" t="n">
        <x:f>ROUND(D113-E113,2)</x:f>
        <x:v>951.66</x:v>
      </x:c>
      <x:c r="G113" s="7" t="n">
        <x:f>ROUND(C113-F113,2)</x:f>
        <x:v>334883.45</x:v>
      </x:c>
      <x:c r="H113" s="7" t="n">
        <x:f>ROUND(D113-E113-F113,2)</x:f>
        <x:v>0</x:v>
      </x:c>
      <x:c r="I113" s="1" t="str">
        <x:v>Projection</x:v>
      </x:c>
    </x:row>
    <x:row r="114" ht="21" customHeight="1">
      <x:c r="A114" s="1" t="n">
        <x:v>103</x:v>
      </x:c>
      <x:c r="B114" s="6" t="n">
        <x:v>48975</x:v>
      </x:c>
      <x:c r="C114" s="7" t="n">
        <x:f>G113</x:f>
        <x:v>334883.45</x:v>
      </x:c>
      <x:c r="D114" s="7" t="n">
        <x:f>IF(A114=$B$7,ROUND(C114+E114,2),MIN($B$8,ROUND(C114+E114,2)))</x:f>
        <x:v>2742.78</x:v>
      </x:c>
      <x:c r="E114" s="7" t="n">
        <x:f>ROUND(C114*$B$6/12,2)</x:f>
        <x:v>1786.05</x:v>
      </x:c>
      <x:c r="F114" s="7" t="n">
        <x:f>ROUND(D114-E114,2)</x:f>
        <x:v>956.73</x:v>
      </x:c>
      <x:c r="G114" s="7" t="n">
        <x:f>ROUND(C114-F114,2)</x:f>
        <x:v>333926.72</x:v>
      </x:c>
      <x:c r="H114" s="7" t="n">
        <x:f>ROUND(D114-E114-F114,2)</x:f>
        <x:v>0</x:v>
      </x:c>
      <x:c r="I114" s="1" t="str">
        <x:v>Projection</x:v>
      </x:c>
    </x:row>
    <x:row r="115" ht="21" customHeight="1">
      <x:c r="A115" s="1" t="n">
        <x:v>104</x:v>
      </x:c>
      <x:c r="B115" s="6" t="n">
        <x:v>49003</x:v>
      </x:c>
      <x:c r="C115" s="7" t="n">
        <x:f>G114</x:f>
        <x:v>333926.72</x:v>
      </x:c>
      <x:c r="D115" s="7" t="n">
        <x:f>IF(A115=$B$7,ROUND(C115+E115,2),MIN($B$8,ROUND(C115+E115,2)))</x:f>
        <x:v>2742.78</x:v>
      </x:c>
      <x:c r="E115" s="7" t="n">
        <x:f>ROUND(C115*$B$6/12,2)</x:f>
        <x:v>1780.94</x:v>
      </x:c>
      <x:c r="F115" s="7" t="n">
        <x:f>ROUND(D115-E115,2)</x:f>
        <x:v>961.84</x:v>
      </x:c>
      <x:c r="G115" s="7" t="n">
        <x:f>ROUND(C115-F115,2)</x:f>
        <x:v>332964.88</x:v>
      </x:c>
      <x:c r="H115" s="7" t="n">
        <x:f>ROUND(D115-E115-F115,2)</x:f>
        <x:v>0</x:v>
      </x:c>
      <x:c r="I115" s="1" t="str">
        <x:v>Projection</x:v>
      </x:c>
    </x:row>
    <x:row r="116" ht="21" customHeight="1">
      <x:c r="A116" s="1" t="n">
        <x:v>105</x:v>
      </x:c>
      <x:c r="B116" s="6" t="n">
        <x:v>49034</x:v>
      </x:c>
      <x:c r="C116" s="7" t="n">
        <x:f>G115</x:f>
        <x:v>332964.88</x:v>
      </x:c>
      <x:c r="D116" s="7" t="n">
        <x:f>IF(A116=$B$7,ROUND(C116+E116,2),MIN($B$8,ROUND(C116+E116,2)))</x:f>
        <x:v>2742.78</x:v>
      </x:c>
      <x:c r="E116" s="7" t="n">
        <x:f>ROUND(C116*$B$6/12,2)</x:f>
        <x:v>1775.81</x:v>
      </x:c>
      <x:c r="F116" s="7" t="n">
        <x:f>ROUND(D116-E116,2)</x:f>
        <x:v>966.97</x:v>
      </x:c>
      <x:c r="G116" s="7" t="n">
        <x:f>ROUND(C116-F116,2)</x:f>
        <x:v>331997.91</x:v>
      </x:c>
      <x:c r="H116" s="7" t="n">
        <x:f>ROUND(D116-E116-F116,2)</x:f>
        <x:v>0</x:v>
      </x:c>
      <x:c r="I116" s="1" t="str">
        <x:v>Projection</x:v>
      </x:c>
    </x:row>
    <x:row r="117" ht="21" customHeight="1">
      <x:c r="A117" s="1" t="n">
        <x:v>106</x:v>
      </x:c>
      <x:c r="B117" s="6" t="n">
        <x:v>49064</x:v>
      </x:c>
      <x:c r="C117" s="7" t="n">
        <x:f>G116</x:f>
        <x:v>331997.91</x:v>
      </x:c>
      <x:c r="D117" s="7" t="n">
        <x:f>IF(A117=$B$7,ROUND(C117+E117,2),MIN($B$8,ROUND(C117+E117,2)))</x:f>
        <x:v>2742.78</x:v>
      </x:c>
      <x:c r="E117" s="7" t="n">
        <x:f>ROUND(C117*$B$6/12,2)</x:f>
        <x:v>1770.66</x:v>
      </x:c>
      <x:c r="F117" s="7" t="n">
        <x:f>ROUND(D117-E117,2)</x:f>
        <x:v>972.12</x:v>
      </x:c>
      <x:c r="G117" s="7" t="n">
        <x:f>ROUND(C117-F117,2)</x:f>
        <x:v>331025.79</x:v>
      </x:c>
      <x:c r="H117" s="7" t="n">
        <x:f>ROUND(D117-E117-F117,2)</x:f>
        <x:v>0</x:v>
      </x:c>
      <x:c r="I117" s="1" t="str">
        <x:v>Projection</x:v>
      </x:c>
    </x:row>
    <x:row r="118" ht="21" customHeight="1">
      <x:c r="A118" s="1" t="n">
        <x:v>107</x:v>
      </x:c>
      <x:c r="B118" s="6" t="n">
        <x:v>49095</x:v>
      </x:c>
      <x:c r="C118" s="7" t="n">
        <x:f>G117</x:f>
        <x:v>331025.79</x:v>
      </x:c>
      <x:c r="D118" s="7" t="n">
        <x:f>IF(A118=$B$7,ROUND(C118+E118,2),MIN($B$8,ROUND(C118+E118,2)))</x:f>
        <x:v>2742.78</x:v>
      </x:c>
      <x:c r="E118" s="7" t="n">
        <x:f>ROUND(C118*$B$6/12,2)</x:f>
        <x:v>1765.47</x:v>
      </x:c>
      <x:c r="F118" s="7" t="n">
        <x:f>ROUND(D118-E118,2)</x:f>
        <x:v>977.31</x:v>
      </x:c>
      <x:c r="G118" s="7" t="n">
        <x:f>ROUND(C118-F118,2)</x:f>
        <x:v>330048.48</x:v>
      </x:c>
      <x:c r="H118" s="7" t="n">
        <x:f>ROUND(D118-E118-F118,2)</x:f>
        <x:v>0</x:v>
      </x:c>
      <x:c r="I118" s="1" t="str">
        <x:v>Projection</x:v>
      </x:c>
    </x:row>
    <x:row r="119" ht="21" customHeight="1">
      <x:c r="A119" s="1" t="n">
        <x:v>108</x:v>
      </x:c>
      <x:c r="B119" s="6" t="n">
        <x:v>49125</x:v>
      </x:c>
      <x:c r="C119" s="7" t="n">
        <x:f>G118</x:f>
        <x:v>330048.48</x:v>
      </x:c>
      <x:c r="D119" s="7" t="n">
        <x:f>IF(A119=$B$7,ROUND(C119+E119,2),MIN($B$8,ROUND(C119+E119,2)))</x:f>
        <x:v>2742.78</x:v>
      </x:c>
      <x:c r="E119" s="7" t="n">
        <x:f>ROUND(C119*$B$6/12,2)</x:f>
        <x:v>1760.26</x:v>
      </x:c>
      <x:c r="F119" s="7" t="n">
        <x:f>ROUND(D119-E119,2)</x:f>
        <x:v>982.52</x:v>
      </x:c>
      <x:c r="G119" s="7" t="n">
        <x:f>ROUND(C119-F119,2)</x:f>
        <x:v>329065.96</x:v>
      </x:c>
      <x:c r="H119" s="7" t="n">
        <x:f>ROUND(D119-E119-F119,2)</x:f>
        <x:v>0</x:v>
      </x:c>
      <x:c r="I119" s="1" t="str">
        <x:v>Projection</x:v>
      </x:c>
    </x:row>
    <x:row r="120" ht="21" customHeight="1">
      <x:c r="A120" s="1" t="n">
        <x:v>109</x:v>
      </x:c>
      <x:c r="B120" s="6" t="n">
        <x:v>49156</x:v>
      </x:c>
      <x:c r="C120" s="7" t="n">
        <x:f>G119</x:f>
        <x:v>329065.96</x:v>
      </x:c>
      <x:c r="D120" s="7" t="n">
        <x:f>IF(A120=$B$7,ROUND(C120+E120,2),MIN($B$8,ROUND(C120+E120,2)))</x:f>
        <x:v>2742.78</x:v>
      </x:c>
      <x:c r="E120" s="7" t="n">
        <x:f>ROUND(C120*$B$6/12,2)</x:f>
        <x:v>1755.02</x:v>
      </x:c>
      <x:c r="F120" s="7" t="n">
        <x:f>ROUND(D120-E120,2)</x:f>
        <x:v>987.76</x:v>
      </x:c>
      <x:c r="G120" s="7" t="n">
        <x:f>ROUND(C120-F120,2)</x:f>
        <x:v>328078.2</x:v>
      </x:c>
      <x:c r="H120" s="7" t="n">
        <x:f>ROUND(D120-E120-F120,2)</x:f>
        <x:v>0</x:v>
      </x:c>
      <x:c r="I120" s="1" t="str">
        <x:v>Projection</x:v>
      </x:c>
    </x:row>
    <x:row r="121" ht="21" customHeight="1">
      <x:c r="A121" s="1" t="n">
        <x:v>110</x:v>
      </x:c>
      <x:c r="B121" s="6" t="n">
        <x:v>49187</x:v>
      </x:c>
      <x:c r="C121" s="7" t="n">
        <x:f>G120</x:f>
        <x:v>328078.2</x:v>
      </x:c>
      <x:c r="D121" s="7" t="n">
        <x:f>IF(A121=$B$7,ROUND(C121+E121,2),MIN($B$8,ROUND(C121+E121,2)))</x:f>
        <x:v>2742.78</x:v>
      </x:c>
      <x:c r="E121" s="7" t="n">
        <x:f>ROUND(C121*$B$6/12,2)</x:f>
        <x:v>1749.75</x:v>
      </x:c>
      <x:c r="F121" s="7" t="n">
        <x:f>ROUND(D121-E121,2)</x:f>
        <x:v>993.03</x:v>
      </x:c>
      <x:c r="G121" s="7" t="n">
        <x:f>ROUND(C121-F121,2)</x:f>
        <x:v>327085.17</x:v>
      </x:c>
      <x:c r="H121" s="7" t="n">
        <x:f>ROUND(D121-E121-F121,2)</x:f>
        <x:v>0</x:v>
      </x:c>
      <x:c r="I121" s="1" t="str">
        <x:v>Projection</x:v>
      </x:c>
    </x:row>
    <x:row r="122" ht="21" customHeight="1">
      <x:c r="A122" s="1" t="n">
        <x:v>111</x:v>
      </x:c>
      <x:c r="B122" s="6" t="n">
        <x:v>49217</x:v>
      </x:c>
      <x:c r="C122" s="7" t="n">
        <x:f>G121</x:f>
        <x:v>327085.17</x:v>
      </x:c>
      <x:c r="D122" s="7" t="n">
        <x:f>IF(A122=$B$7,ROUND(C122+E122,2),MIN($B$8,ROUND(C122+E122,2)))</x:f>
        <x:v>2742.78</x:v>
      </x:c>
      <x:c r="E122" s="7" t="n">
        <x:f>ROUND(C122*$B$6/12,2)</x:f>
        <x:v>1744.45</x:v>
      </x:c>
      <x:c r="F122" s="7" t="n">
        <x:f>ROUND(D122-E122,2)</x:f>
        <x:v>998.33</x:v>
      </x:c>
      <x:c r="G122" s="7" t="n">
        <x:f>ROUND(C122-F122,2)</x:f>
        <x:v>326086.84</x:v>
      </x:c>
      <x:c r="H122" s="7" t="n">
        <x:f>ROUND(D122-E122-F122,2)</x:f>
        <x:v>0</x:v>
      </x:c>
      <x:c r="I122" s="1" t="str">
        <x:v>Projection</x:v>
      </x:c>
    </x:row>
    <x:row r="123" ht="21" customHeight="1">
      <x:c r="A123" s="1" t="n">
        <x:v>112</x:v>
      </x:c>
      <x:c r="B123" s="6" t="n">
        <x:v>49248</x:v>
      </x:c>
      <x:c r="C123" s="7" t="n">
        <x:f>G122</x:f>
        <x:v>326086.84</x:v>
      </x:c>
      <x:c r="D123" s="7" t="n">
        <x:f>IF(A123=$B$7,ROUND(C123+E123,2),MIN($B$8,ROUND(C123+E123,2)))</x:f>
        <x:v>2742.78</x:v>
      </x:c>
      <x:c r="E123" s="7" t="n">
        <x:f>ROUND(C123*$B$6/12,2)</x:f>
        <x:v>1739.13</x:v>
      </x:c>
      <x:c r="F123" s="7" t="n">
        <x:f>ROUND(D123-E123,2)</x:f>
        <x:v>1003.65</x:v>
      </x:c>
      <x:c r="G123" s="7" t="n">
        <x:f>ROUND(C123-F123,2)</x:f>
        <x:v>325083.19</x:v>
      </x:c>
      <x:c r="H123" s="7" t="n">
        <x:f>ROUND(D123-E123-F123,2)</x:f>
        <x:v>0</x:v>
      </x:c>
      <x:c r="I123" s="1" t="str">
        <x:v>Projection</x:v>
      </x:c>
    </x:row>
    <x:row r="124" ht="21" customHeight="1">
      <x:c r="A124" s="1" t="n">
        <x:v>113</x:v>
      </x:c>
      <x:c r="B124" s="6" t="n">
        <x:v>49278</x:v>
      </x:c>
      <x:c r="C124" s="7" t="n">
        <x:f>G123</x:f>
        <x:v>325083.19</x:v>
      </x:c>
      <x:c r="D124" s="7" t="n">
        <x:f>IF(A124=$B$7,ROUND(C124+E124,2),MIN($B$8,ROUND(C124+E124,2)))</x:f>
        <x:v>2742.78</x:v>
      </x:c>
      <x:c r="E124" s="7" t="n">
        <x:f>ROUND(C124*$B$6/12,2)</x:f>
        <x:v>1733.78</x:v>
      </x:c>
      <x:c r="F124" s="7" t="n">
        <x:f>ROUND(D124-E124,2)</x:f>
        <x:v>1009</x:v>
      </x:c>
      <x:c r="G124" s="7" t="n">
        <x:f>ROUND(C124-F124,2)</x:f>
        <x:v>324074.19</x:v>
      </x:c>
      <x:c r="H124" s="7" t="n">
        <x:f>ROUND(D124-E124-F124,2)</x:f>
        <x:v>0</x:v>
      </x:c>
      <x:c r="I124" s="1" t="str">
        <x:v>Projection</x:v>
      </x:c>
    </x:row>
    <x:row r="125" ht="21" customHeight="1">
      <x:c r="A125" s="1" t="n">
        <x:v>114</x:v>
      </x:c>
      <x:c r="B125" s="6" t="n">
        <x:v>49309</x:v>
      </x:c>
      <x:c r="C125" s="7" t="n">
        <x:f>G124</x:f>
        <x:v>324074.19</x:v>
      </x:c>
      <x:c r="D125" s="7" t="n">
        <x:f>IF(A125=$B$7,ROUND(C125+E125,2),MIN($B$8,ROUND(C125+E125,2)))</x:f>
        <x:v>2742.78</x:v>
      </x:c>
      <x:c r="E125" s="7" t="n">
        <x:f>ROUND(C125*$B$6/12,2)</x:f>
        <x:v>1728.4</x:v>
      </x:c>
      <x:c r="F125" s="7" t="n">
        <x:f>ROUND(D125-E125,2)</x:f>
        <x:v>1014.38</x:v>
      </x:c>
      <x:c r="G125" s="7" t="n">
        <x:f>ROUND(C125-F125,2)</x:f>
        <x:v>323059.81</x:v>
      </x:c>
      <x:c r="H125" s="7" t="n">
        <x:f>ROUND(D125-E125-F125,2)</x:f>
        <x:v>0</x:v>
      </x:c>
      <x:c r="I125" s="1" t="str">
        <x:v>Projection</x:v>
      </x:c>
    </x:row>
    <x:row r="126" ht="21" customHeight="1">
      <x:c r="A126" s="1" t="n">
        <x:v>115</x:v>
      </x:c>
      <x:c r="B126" s="6" t="n">
        <x:v>49340</x:v>
      </x:c>
      <x:c r="C126" s="7" t="n">
        <x:f>G125</x:f>
        <x:v>323059.81</x:v>
      </x:c>
      <x:c r="D126" s="7" t="n">
        <x:f>IF(A126=$B$7,ROUND(C126+E126,2),MIN($B$8,ROUND(C126+E126,2)))</x:f>
        <x:v>2742.78</x:v>
      </x:c>
      <x:c r="E126" s="7" t="n">
        <x:f>ROUND(C126*$B$6/12,2)</x:f>
        <x:v>1722.99</x:v>
      </x:c>
      <x:c r="F126" s="7" t="n">
        <x:f>ROUND(D126-E126,2)</x:f>
        <x:v>1019.79</x:v>
      </x:c>
      <x:c r="G126" s="7" t="n">
        <x:f>ROUND(C126-F126,2)</x:f>
        <x:v>322040.02</x:v>
      </x:c>
      <x:c r="H126" s="7" t="n">
        <x:f>ROUND(D126-E126-F126,2)</x:f>
        <x:v>0</x:v>
      </x:c>
      <x:c r="I126" s="1" t="str">
        <x:v>Projection</x:v>
      </x:c>
    </x:row>
    <x:row r="127" ht="21" customHeight="1">
      <x:c r="A127" s="1" t="n">
        <x:v>116</x:v>
      </x:c>
      <x:c r="B127" s="6" t="n">
        <x:v>49368</x:v>
      </x:c>
      <x:c r="C127" s="7" t="n">
        <x:f>G126</x:f>
        <x:v>322040.02</x:v>
      </x:c>
      <x:c r="D127" s="7" t="n">
        <x:f>IF(A127=$B$7,ROUND(C127+E127,2),MIN($B$8,ROUND(C127+E127,2)))</x:f>
        <x:v>2742.78</x:v>
      </x:c>
      <x:c r="E127" s="7" t="n">
        <x:f>ROUND(C127*$B$6/12,2)</x:f>
        <x:v>1717.55</x:v>
      </x:c>
      <x:c r="F127" s="7" t="n">
        <x:f>ROUND(D127-E127,2)</x:f>
        <x:v>1025.23</x:v>
      </x:c>
      <x:c r="G127" s="7" t="n">
        <x:f>ROUND(C127-F127,2)</x:f>
        <x:v>321014.79</x:v>
      </x:c>
      <x:c r="H127" s="7" t="n">
        <x:f>ROUND(D127-E127-F127,2)</x:f>
        <x:v>0</x:v>
      </x:c>
      <x:c r="I127" s="1" t="str">
        <x:v>Projection</x:v>
      </x:c>
    </x:row>
    <x:row r="128" ht="21" customHeight="1">
      <x:c r="A128" s="1" t="n">
        <x:v>117</x:v>
      </x:c>
      <x:c r="B128" s="6" t="n">
        <x:v>49399</x:v>
      </x:c>
      <x:c r="C128" s="7" t="n">
        <x:f>G127</x:f>
        <x:v>321014.79</x:v>
      </x:c>
      <x:c r="D128" s="7" t="n">
        <x:f>IF(A128=$B$7,ROUND(C128+E128,2),MIN($B$8,ROUND(C128+E128,2)))</x:f>
        <x:v>2742.78</x:v>
      </x:c>
      <x:c r="E128" s="7" t="n">
        <x:f>ROUND(C128*$B$6/12,2)</x:f>
        <x:v>1712.08</x:v>
      </x:c>
      <x:c r="F128" s="7" t="n">
        <x:f>ROUND(D128-E128,2)</x:f>
        <x:v>1030.7</x:v>
      </x:c>
      <x:c r="G128" s="7" t="n">
        <x:f>ROUND(C128-F128,2)</x:f>
        <x:v>319984.09</x:v>
      </x:c>
      <x:c r="H128" s="7" t="n">
        <x:f>ROUND(D128-E128-F128,2)</x:f>
        <x:v>0</x:v>
      </x:c>
      <x:c r="I128" s="1" t="str">
        <x:v>Projection</x:v>
      </x:c>
    </x:row>
    <x:row r="129" ht="21" customHeight="1">
      <x:c r="A129" s="1" t="n">
        <x:v>118</x:v>
      </x:c>
      <x:c r="B129" s="6" t="n">
        <x:v>49429</x:v>
      </x:c>
      <x:c r="C129" s="7" t="n">
        <x:f>G128</x:f>
        <x:v>319984.09</x:v>
      </x:c>
      <x:c r="D129" s="7" t="n">
        <x:f>IF(A129=$B$7,ROUND(C129+E129,2),MIN($B$8,ROUND(C129+E129,2)))</x:f>
        <x:v>2742.78</x:v>
      </x:c>
      <x:c r="E129" s="7" t="n">
        <x:f>ROUND(C129*$B$6/12,2)</x:f>
        <x:v>1706.58</x:v>
      </x:c>
      <x:c r="F129" s="7" t="n">
        <x:f>ROUND(D129-E129,2)</x:f>
        <x:v>1036.2</x:v>
      </x:c>
      <x:c r="G129" s="7" t="n">
        <x:f>ROUND(C129-F129,2)</x:f>
        <x:v>318947.89</x:v>
      </x:c>
      <x:c r="H129" s="7" t="n">
        <x:f>ROUND(D129-E129-F129,2)</x:f>
        <x:v>0</x:v>
      </x:c>
      <x:c r="I129" s="1" t="str">
        <x:v>Projection</x:v>
      </x:c>
    </x:row>
    <x:row r="130" ht="21" customHeight="1">
      <x:c r="A130" s="1" t="n">
        <x:v>119</x:v>
      </x:c>
      <x:c r="B130" s="6" t="n">
        <x:v>49460</x:v>
      </x:c>
      <x:c r="C130" s="7" t="n">
        <x:f>G129</x:f>
        <x:v>318947.89</x:v>
      </x:c>
      <x:c r="D130" s="7" t="n">
        <x:f>IF(A130=$B$7,ROUND(C130+E130,2),MIN($B$8,ROUND(C130+E130,2)))</x:f>
        <x:v>2742.78</x:v>
      </x:c>
      <x:c r="E130" s="7" t="n">
        <x:f>ROUND(C130*$B$6/12,2)</x:f>
        <x:v>1701.06</x:v>
      </x:c>
      <x:c r="F130" s="7" t="n">
        <x:f>ROUND(D130-E130,2)</x:f>
        <x:v>1041.72</x:v>
      </x:c>
      <x:c r="G130" s="7" t="n">
        <x:f>ROUND(C130-F130,2)</x:f>
        <x:v>317906.17</x:v>
      </x:c>
      <x:c r="H130" s="7" t="n">
        <x:f>ROUND(D130-E130-F130,2)</x:f>
        <x:v>0</x:v>
      </x:c>
      <x:c r="I130" s="1" t="str">
        <x:v>Projection</x:v>
      </x:c>
    </x:row>
    <x:row r="131" ht="21" customHeight="1">
      <x:c r="A131" s="1" t="n">
        <x:v>120</x:v>
      </x:c>
      <x:c r="B131" s="6" t="n">
        <x:v>49490</x:v>
      </x:c>
      <x:c r="C131" s="7" t="n">
        <x:f>G130</x:f>
        <x:v>317906.17</x:v>
      </x:c>
      <x:c r="D131" s="7" t="n">
        <x:f>IF(A131=$B$7,ROUND(C131+E131,2),MIN($B$8,ROUND(C131+E131,2)))</x:f>
        <x:v>2742.78</x:v>
      </x:c>
      <x:c r="E131" s="7" t="n">
        <x:f>ROUND(C131*$B$6/12,2)</x:f>
        <x:v>1695.5</x:v>
      </x:c>
      <x:c r="F131" s="7" t="n">
        <x:f>ROUND(D131-E131,2)</x:f>
        <x:v>1047.28</x:v>
      </x:c>
      <x:c r="G131" s="7" t="n">
        <x:f>ROUND(C131-F131,2)</x:f>
        <x:v>316858.89</x:v>
      </x:c>
      <x:c r="H131" s="7" t="n">
        <x:f>ROUND(D131-E131-F131,2)</x:f>
        <x:v>0</x:v>
      </x:c>
      <x:c r="I131" s="1" t="str">
        <x:v>Projection</x:v>
      </x:c>
    </x:row>
    <x:row r="132" ht="21" customHeight="1">
      <x:c r="A132" s="1" t="n">
        <x:v>121</x:v>
      </x:c>
      <x:c r="B132" s="6" t="n">
        <x:v>49521</x:v>
      </x:c>
      <x:c r="C132" s="7" t="n">
        <x:f>G131</x:f>
        <x:v>316858.89</x:v>
      </x:c>
      <x:c r="D132" s="7" t="n">
        <x:f>IF(A132=$B$7,ROUND(C132+E132,2),MIN($B$8,ROUND(C132+E132,2)))</x:f>
        <x:v>2742.78</x:v>
      </x:c>
      <x:c r="E132" s="7" t="n">
        <x:f>ROUND(C132*$B$6/12,2)</x:f>
        <x:v>1689.91</x:v>
      </x:c>
      <x:c r="F132" s="7" t="n">
        <x:f>ROUND(D132-E132,2)</x:f>
        <x:v>1052.87</x:v>
      </x:c>
      <x:c r="G132" s="7" t="n">
        <x:f>ROUND(C132-F132,2)</x:f>
        <x:v>315806.02</x:v>
      </x:c>
      <x:c r="H132" s="7" t="n">
        <x:f>ROUND(D132-E132-F132,2)</x:f>
        <x:v>0</x:v>
      </x:c>
      <x:c r="I132" s="1" t="str">
        <x:v>Projection</x:v>
      </x:c>
    </x:row>
    <x:row r="133" ht="21" customHeight="1">
      <x:c r="A133" s="1" t="n">
        <x:v>122</x:v>
      </x:c>
      <x:c r="B133" s="6" t="n">
        <x:v>49552</x:v>
      </x:c>
      <x:c r="C133" s="7" t="n">
        <x:f>G132</x:f>
        <x:v>315806.02</x:v>
      </x:c>
      <x:c r="D133" s="7" t="n">
        <x:f>IF(A133=$B$7,ROUND(C133+E133,2),MIN($B$8,ROUND(C133+E133,2)))</x:f>
        <x:v>2742.78</x:v>
      </x:c>
      <x:c r="E133" s="7" t="n">
        <x:f>ROUND(C133*$B$6/12,2)</x:f>
        <x:v>1684.3</x:v>
      </x:c>
      <x:c r="F133" s="7" t="n">
        <x:f>ROUND(D133-E133,2)</x:f>
        <x:v>1058.48</x:v>
      </x:c>
      <x:c r="G133" s="7" t="n">
        <x:f>ROUND(C133-F133,2)</x:f>
        <x:v>314747.54</x:v>
      </x:c>
      <x:c r="H133" s="7" t="n">
        <x:f>ROUND(D133-E133-F133,2)</x:f>
        <x:v>0</x:v>
      </x:c>
      <x:c r="I133" s="1" t="str">
        <x:v>Projection</x:v>
      </x:c>
    </x:row>
    <x:row r="134" ht="21" customHeight="1">
      <x:c r="A134" s="1" t="n">
        <x:v>123</x:v>
      </x:c>
      <x:c r="B134" s="6" t="n">
        <x:v>49582</x:v>
      </x:c>
      <x:c r="C134" s="7" t="n">
        <x:f>G133</x:f>
        <x:v>314747.54</x:v>
      </x:c>
      <x:c r="D134" s="7" t="n">
        <x:f>IF(A134=$B$7,ROUND(C134+E134,2),MIN($B$8,ROUND(C134+E134,2)))</x:f>
        <x:v>2742.78</x:v>
      </x:c>
      <x:c r="E134" s="7" t="n">
        <x:f>ROUND(C134*$B$6/12,2)</x:f>
        <x:v>1678.65</x:v>
      </x:c>
      <x:c r="F134" s="7" t="n">
        <x:f>ROUND(D134-E134,2)</x:f>
        <x:v>1064.13</x:v>
      </x:c>
      <x:c r="G134" s="7" t="n">
        <x:f>ROUND(C134-F134,2)</x:f>
        <x:v>313683.41</x:v>
      </x:c>
      <x:c r="H134" s="7" t="n">
        <x:f>ROUND(D134-E134-F134,2)</x:f>
        <x:v>0</x:v>
      </x:c>
      <x:c r="I134" s="1" t="str">
        <x:v>Projection</x:v>
      </x:c>
    </x:row>
    <x:row r="135" ht="21" customHeight="1">
      <x:c r="A135" s="1" t="n">
        <x:v>124</x:v>
      </x:c>
      <x:c r="B135" s="6" t="n">
        <x:v>49613</x:v>
      </x:c>
      <x:c r="C135" s="7" t="n">
        <x:f>G134</x:f>
        <x:v>313683.41</x:v>
      </x:c>
      <x:c r="D135" s="7" t="n">
        <x:f>IF(A135=$B$7,ROUND(C135+E135,2),MIN($B$8,ROUND(C135+E135,2)))</x:f>
        <x:v>2742.78</x:v>
      </x:c>
      <x:c r="E135" s="7" t="n">
        <x:f>ROUND(C135*$B$6/12,2)</x:f>
        <x:v>1672.98</x:v>
      </x:c>
      <x:c r="F135" s="7" t="n">
        <x:f>ROUND(D135-E135,2)</x:f>
        <x:v>1069.8</x:v>
      </x:c>
      <x:c r="G135" s="7" t="n">
        <x:f>ROUND(C135-F135,2)</x:f>
        <x:v>312613.61</x:v>
      </x:c>
      <x:c r="H135" s="7" t="n">
        <x:f>ROUND(D135-E135-F135,2)</x:f>
        <x:v>0</x:v>
      </x:c>
      <x:c r="I135" s="1" t="str">
        <x:v>Projection</x:v>
      </x:c>
    </x:row>
    <x:row r="136" ht="21" customHeight="1">
      <x:c r="A136" s="1" t="n">
        <x:v>125</x:v>
      </x:c>
      <x:c r="B136" s="6" t="n">
        <x:v>49643</x:v>
      </x:c>
      <x:c r="C136" s="7" t="n">
        <x:f>G135</x:f>
        <x:v>312613.61</x:v>
      </x:c>
      <x:c r="D136" s="7" t="n">
        <x:f>IF(A136=$B$7,ROUND(C136+E136,2),MIN($B$8,ROUND(C136+E136,2)))</x:f>
        <x:v>2742.78</x:v>
      </x:c>
      <x:c r="E136" s="7" t="n">
        <x:f>ROUND(C136*$B$6/12,2)</x:f>
        <x:v>1667.27</x:v>
      </x:c>
      <x:c r="F136" s="7" t="n">
        <x:f>ROUND(D136-E136,2)</x:f>
        <x:v>1075.51</x:v>
      </x:c>
      <x:c r="G136" s="7" t="n">
        <x:f>ROUND(C136-F136,2)</x:f>
        <x:v>311538.1</x:v>
      </x:c>
      <x:c r="H136" s="7" t="n">
        <x:f>ROUND(D136-E136-F136,2)</x:f>
        <x:v>0</x:v>
      </x:c>
      <x:c r="I136" s="1" t="str">
        <x:v>Projection</x:v>
      </x:c>
    </x:row>
    <x:row r="137" ht="21" customHeight="1">
      <x:c r="A137" s="1" t="n">
        <x:v>126</x:v>
      </x:c>
      <x:c r="B137" s="6" t="n">
        <x:v>49674</x:v>
      </x:c>
      <x:c r="C137" s="7" t="n">
        <x:f>G136</x:f>
        <x:v>311538.1</x:v>
      </x:c>
      <x:c r="D137" s="7" t="n">
        <x:f>IF(A137=$B$7,ROUND(C137+E137,2),MIN($B$8,ROUND(C137+E137,2)))</x:f>
        <x:v>2742.78</x:v>
      </x:c>
      <x:c r="E137" s="7" t="n">
        <x:f>ROUND(C137*$B$6/12,2)</x:f>
        <x:v>1661.54</x:v>
      </x:c>
      <x:c r="F137" s="7" t="n">
        <x:f>ROUND(D137-E137,2)</x:f>
        <x:v>1081.24</x:v>
      </x:c>
      <x:c r="G137" s="7" t="n">
        <x:f>ROUND(C137-F137,2)</x:f>
        <x:v>310456.86</x:v>
      </x:c>
      <x:c r="H137" s="7" t="n">
        <x:f>ROUND(D137-E137-F137,2)</x:f>
        <x:v>0</x:v>
      </x:c>
      <x:c r="I137" s="1" t="str">
        <x:v>Projection</x:v>
      </x:c>
    </x:row>
    <x:row r="138" ht="21" customHeight="1">
      <x:c r="A138" s="1" t="n">
        <x:v>127</x:v>
      </x:c>
      <x:c r="B138" s="6" t="n">
        <x:v>49705</x:v>
      </x:c>
      <x:c r="C138" s="7" t="n">
        <x:f>G137</x:f>
        <x:v>310456.86</x:v>
      </x:c>
      <x:c r="D138" s="7" t="n">
        <x:f>IF(A138=$B$7,ROUND(C138+E138,2),MIN($B$8,ROUND(C138+E138,2)))</x:f>
        <x:v>2742.78</x:v>
      </x:c>
      <x:c r="E138" s="7" t="n">
        <x:f>ROUND(C138*$B$6/12,2)</x:f>
        <x:v>1655.77</x:v>
      </x:c>
      <x:c r="F138" s="7" t="n">
        <x:f>ROUND(D138-E138,2)</x:f>
        <x:v>1087.01</x:v>
      </x:c>
      <x:c r="G138" s="7" t="n">
        <x:f>ROUND(C138-F138,2)</x:f>
        <x:v>309369.85</x:v>
      </x:c>
      <x:c r="H138" s="7" t="n">
        <x:f>ROUND(D138-E138-F138,2)</x:f>
        <x:v>0</x:v>
      </x:c>
      <x:c r="I138" s="1" t="str">
        <x:v>Projection</x:v>
      </x:c>
    </x:row>
    <x:row r="139" ht="21" customHeight="1">
      <x:c r="A139" s="1" t="n">
        <x:v>128</x:v>
      </x:c>
      <x:c r="B139" s="6" t="n">
        <x:v>49734</x:v>
      </x:c>
      <x:c r="C139" s="7" t="n">
        <x:f>G138</x:f>
        <x:v>309369.85</x:v>
      </x:c>
      <x:c r="D139" s="7" t="n">
        <x:f>IF(A139=$B$7,ROUND(C139+E139,2),MIN($B$8,ROUND(C139+E139,2)))</x:f>
        <x:v>2742.78</x:v>
      </x:c>
      <x:c r="E139" s="7" t="n">
        <x:f>ROUND(C139*$B$6/12,2)</x:f>
        <x:v>1649.97</x:v>
      </x:c>
      <x:c r="F139" s="7" t="n">
        <x:f>ROUND(D139-E139,2)</x:f>
        <x:v>1092.81</x:v>
      </x:c>
      <x:c r="G139" s="7" t="n">
        <x:f>ROUND(C139-F139,2)</x:f>
        <x:v>308277.04</x:v>
      </x:c>
      <x:c r="H139" s="7" t="n">
        <x:f>ROUND(D139-E139-F139,2)</x:f>
        <x:v>0</x:v>
      </x:c>
      <x:c r="I139" s="1" t="str">
        <x:v>Projection</x:v>
      </x:c>
    </x:row>
    <x:row r="140" ht="21" customHeight="1">
      <x:c r="A140" s="1" t="n">
        <x:v>129</x:v>
      </x:c>
      <x:c r="B140" s="6" t="n">
        <x:v>49765</x:v>
      </x:c>
      <x:c r="C140" s="7" t="n">
        <x:f>G139</x:f>
        <x:v>308277.04</x:v>
      </x:c>
      <x:c r="D140" s="7" t="n">
        <x:f>IF(A140=$B$7,ROUND(C140+E140,2),MIN($B$8,ROUND(C140+E140,2)))</x:f>
        <x:v>2742.78</x:v>
      </x:c>
      <x:c r="E140" s="7" t="n">
        <x:f>ROUND(C140*$B$6/12,2)</x:f>
        <x:v>1644.14</x:v>
      </x:c>
      <x:c r="F140" s="7" t="n">
        <x:f>ROUND(D140-E140,2)</x:f>
        <x:v>1098.64</x:v>
      </x:c>
      <x:c r="G140" s="7" t="n">
        <x:f>ROUND(C140-F140,2)</x:f>
        <x:v>307178.4</x:v>
      </x:c>
      <x:c r="H140" s="7" t="n">
        <x:f>ROUND(D140-E140-F140,2)</x:f>
        <x:v>0</x:v>
      </x:c>
      <x:c r="I140" s="1" t="str">
        <x:v>Projection</x:v>
      </x:c>
    </x:row>
    <x:row r="141" ht="21" customHeight="1">
      <x:c r="A141" s="1" t="n">
        <x:v>130</x:v>
      </x:c>
      <x:c r="B141" s="6" t="n">
        <x:v>49795</x:v>
      </x:c>
      <x:c r="C141" s="7" t="n">
        <x:f>G140</x:f>
        <x:v>307178.4</x:v>
      </x:c>
      <x:c r="D141" s="7" t="n">
        <x:f>IF(A141=$B$7,ROUND(C141+E141,2),MIN($B$8,ROUND(C141+E141,2)))</x:f>
        <x:v>2742.78</x:v>
      </x:c>
      <x:c r="E141" s="7" t="n">
        <x:f>ROUND(C141*$B$6/12,2)</x:f>
        <x:v>1638.28</x:v>
      </x:c>
      <x:c r="F141" s="7" t="n">
        <x:f>ROUND(D141-E141,2)</x:f>
        <x:v>1104.5</x:v>
      </x:c>
      <x:c r="G141" s="7" t="n">
        <x:f>ROUND(C141-F141,2)</x:f>
        <x:v>306073.9</x:v>
      </x:c>
      <x:c r="H141" s="7" t="n">
        <x:f>ROUND(D141-E141-F141,2)</x:f>
        <x:v>0</x:v>
      </x:c>
      <x:c r="I141" s="1" t="str">
        <x:v>Projection</x:v>
      </x:c>
    </x:row>
    <x:row r="142" ht="21" customHeight="1">
      <x:c r="A142" s="1" t="n">
        <x:v>131</x:v>
      </x:c>
      <x:c r="B142" s="6" t="n">
        <x:v>49826</x:v>
      </x:c>
      <x:c r="C142" s="7" t="n">
        <x:f>G141</x:f>
        <x:v>306073.9</x:v>
      </x:c>
      <x:c r="D142" s="7" t="n">
        <x:f>IF(A142=$B$7,ROUND(C142+E142,2),MIN($B$8,ROUND(C142+E142,2)))</x:f>
        <x:v>2742.78</x:v>
      </x:c>
      <x:c r="E142" s="7" t="n">
        <x:f>ROUND(C142*$B$6/12,2)</x:f>
        <x:v>1632.39</x:v>
      </x:c>
      <x:c r="F142" s="7" t="n">
        <x:f>ROUND(D142-E142,2)</x:f>
        <x:v>1110.39</x:v>
      </x:c>
      <x:c r="G142" s="7" t="n">
        <x:f>ROUND(C142-F142,2)</x:f>
        <x:v>304963.51</x:v>
      </x:c>
      <x:c r="H142" s="7" t="n">
        <x:f>ROUND(D142-E142-F142,2)</x:f>
        <x:v>0</x:v>
      </x:c>
      <x:c r="I142" s="1" t="str">
        <x:v>Projection</x:v>
      </x:c>
    </x:row>
    <x:row r="143" ht="21" customHeight="1">
      <x:c r="A143" s="1" t="n">
        <x:v>132</x:v>
      </x:c>
      <x:c r="B143" s="6" t="n">
        <x:v>49856</x:v>
      </x:c>
      <x:c r="C143" s="7" t="n">
        <x:f>G142</x:f>
        <x:v>304963.51</x:v>
      </x:c>
      <x:c r="D143" s="7" t="n">
        <x:f>IF(A143=$B$7,ROUND(C143+E143,2),MIN($B$8,ROUND(C143+E143,2)))</x:f>
        <x:v>2742.78</x:v>
      </x:c>
      <x:c r="E143" s="7" t="n">
        <x:f>ROUND(C143*$B$6/12,2)</x:f>
        <x:v>1626.47</x:v>
      </x:c>
      <x:c r="F143" s="7" t="n">
        <x:f>ROUND(D143-E143,2)</x:f>
        <x:v>1116.31</x:v>
      </x:c>
      <x:c r="G143" s="7" t="n">
        <x:f>ROUND(C143-F143,2)</x:f>
        <x:v>303847.2</x:v>
      </x:c>
      <x:c r="H143" s="7" t="n">
        <x:f>ROUND(D143-E143-F143,2)</x:f>
        <x:v>0</x:v>
      </x:c>
      <x:c r="I143" s="1" t="str">
        <x:v>Projection</x:v>
      </x:c>
    </x:row>
    <x:row r="144" ht="21" customHeight="1">
      <x:c r="A144" s="1" t="n">
        <x:v>133</x:v>
      </x:c>
      <x:c r="B144" s="6" t="n">
        <x:v>49887</x:v>
      </x:c>
      <x:c r="C144" s="7" t="n">
        <x:f>G143</x:f>
        <x:v>303847.2</x:v>
      </x:c>
      <x:c r="D144" s="7" t="n">
        <x:f>IF(A144=$B$7,ROUND(C144+E144,2),MIN($B$8,ROUND(C144+E144,2)))</x:f>
        <x:v>2742.78</x:v>
      </x:c>
      <x:c r="E144" s="7" t="n">
        <x:f>ROUND(C144*$B$6/12,2)</x:f>
        <x:v>1620.52</x:v>
      </x:c>
      <x:c r="F144" s="7" t="n">
        <x:f>ROUND(D144-E144,2)</x:f>
        <x:v>1122.26</x:v>
      </x:c>
      <x:c r="G144" s="7" t="n">
        <x:f>ROUND(C144-F144,2)</x:f>
        <x:v>302724.94</x:v>
      </x:c>
      <x:c r="H144" s="7" t="n">
        <x:f>ROUND(D144-E144-F144,2)</x:f>
        <x:v>0</x:v>
      </x:c>
      <x:c r="I144" s="1" t="str">
        <x:v>Projection</x:v>
      </x:c>
    </x:row>
    <x:row r="145" ht="21" customHeight="1">
      <x:c r="A145" s="1" t="n">
        <x:v>134</x:v>
      </x:c>
      <x:c r="B145" s="6" t="n">
        <x:v>49918</x:v>
      </x:c>
      <x:c r="C145" s="7" t="n">
        <x:f>G144</x:f>
        <x:v>302724.94</x:v>
      </x:c>
      <x:c r="D145" s="7" t="n">
        <x:f>IF(A145=$B$7,ROUND(C145+E145,2),MIN($B$8,ROUND(C145+E145,2)))</x:f>
        <x:v>2742.78</x:v>
      </x:c>
      <x:c r="E145" s="7" t="n">
        <x:f>ROUND(C145*$B$6/12,2)</x:f>
        <x:v>1614.53</x:v>
      </x:c>
      <x:c r="F145" s="7" t="n">
        <x:f>ROUND(D145-E145,2)</x:f>
        <x:v>1128.25</x:v>
      </x:c>
      <x:c r="G145" s="7" t="n">
        <x:f>ROUND(C145-F145,2)</x:f>
        <x:v>301596.69</x:v>
      </x:c>
      <x:c r="H145" s="7" t="n">
        <x:f>ROUND(D145-E145-F145,2)</x:f>
        <x:v>0</x:v>
      </x:c>
      <x:c r="I145" s="1" t="str">
        <x:v>Projection</x:v>
      </x:c>
    </x:row>
    <x:row r="146" ht="21" customHeight="1">
      <x:c r="A146" s="1" t="n">
        <x:v>135</x:v>
      </x:c>
      <x:c r="B146" s="6" t="n">
        <x:v>49948</x:v>
      </x:c>
      <x:c r="C146" s="7" t="n">
        <x:f>G145</x:f>
        <x:v>301596.69</x:v>
      </x:c>
      <x:c r="D146" s="7" t="n">
        <x:f>IF(A146=$B$7,ROUND(C146+E146,2),MIN($B$8,ROUND(C146+E146,2)))</x:f>
        <x:v>2742.78</x:v>
      </x:c>
      <x:c r="E146" s="7" t="n">
        <x:f>ROUND(C146*$B$6/12,2)</x:f>
        <x:v>1608.52</x:v>
      </x:c>
      <x:c r="F146" s="7" t="n">
        <x:f>ROUND(D146-E146,2)</x:f>
        <x:v>1134.26</x:v>
      </x:c>
      <x:c r="G146" s="7" t="n">
        <x:f>ROUND(C146-F146,2)</x:f>
        <x:v>300462.43</x:v>
      </x:c>
      <x:c r="H146" s="7" t="n">
        <x:f>ROUND(D146-E146-F146,2)</x:f>
        <x:v>0</x:v>
      </x:c>
      <x:c r="I146" s="1" t="str">
        <x:v>Projection</x:v>
      </x:c>
    </x:row>
    <x:row r="147" ht="21" customHeight="1">
      <x:c r="A147" s="1" t="n">
        <x:v>136</x:v>
      </x:c>
      <x:c r="B147" s="6" t="n">
        <x:v>49979</x:v>
      </x:c>
      <x:c r="C147" s="7" t="n">
        <x:f>G146</x:f>
        <x:v>300462.43</x:v>
      </x:c>
      <x:c r="D147" s="7" t="n">
        <x:f>IF(A147=$B$7,ROUND(C147+E147,2),MIN($B$8,ROUND(C147+E147,2)))</x:f>
        <x:v>2742.78</x:v>
      </x:c>
      <x:c r="E147" s="7" t="n">
        <x:f>ROUND(C147*$B$6/12,2)</x:f>
        <x:v>1602.47</x:v>
      </x:c>
      <x:c r="F147" s="7" t="n">
        <x:f>ROUND(D147-E147,2)</x:f>
        <x:v>1140.31</x:v>
      </x:c>
      <x:c r="G147" s="7" t="n">
        <x:f>ROUND(C147-F147,2)</x:f>
        <x:v>299322.12</x:v>
      </x:c>
      <x:c r="H147" s="7" t="n">
        <x:f>ROUND(D147-E147-F147,2)</x:f>
        <x:v>0</x:v>
      </x:c>
      <x:c r="I147" s="1" t="str">
        <x:v>Projection</x:v>
      </x:c>
    </x:row>
    <x:row r="148" ht="21" customHeight="1">
      <x:c r="A148" s="1" t="n">
        <x:v>137</x:v>
      </x:c>
      <x:c r="B148" s="6" t="n">
        <x:v>50009</x:v>
      </x:c>
      <x:c r="C148" s="7" t="n">
        <x:f>G147</x:f>
        <x:v>299322.12</x:v>
      </x:c>
      <x:c r="D148" s="7" t="n">
        <x:f>IF(A148=$B$7,ROUND(C148+E148,2),MIN($B$8,ROUND(C148+E148,2)))</x:f>
        <x:v>2742.78</x:v>
      </x:c>
      <x:c r="E148" s="7" t="n">
        <x:f>ROUND(C148*$B$6/12,2)</x:f>
        <x:v>1596.38</x:v>
      </x:c>
      <x:c r="F148" s="7" t="n">
        <x:f>ROUND(D148-E148,2)</x:f>
        <x:v>1146.4</x:v>
      </x:c>
      <x:c r="G148" s="7" t="n">
        <x:f>ROUND(C148-F148,2)</x:f>
        <x:v>298175.72</x:v>
      </x:c>
      <x:c r="H148" s="7" t="n">
        <x:f>ROUND(D148-E148-F148,2)</x:f>
        <x:v>0</x:v>
      </x:c>
      <x:c r="I148" s="1" t="str">
        <x:v>Projection</x:v>
      </x:c>
    </x:row>
    <x:row r="149" ht="21" customHeight="1">
      <x:c r="A149" s="1" t="n">
        <x:v>138</x:v>
      </x:c>
      <x:c r="B149" s="6" t="n">
        <x:v>50040</x:v>
      </x:c>
      <x:c r="C149" s="7" t="n">
        <x:f>G148</x:f>
        <x:v>298175.72</x:v>
      </x:c>
      <x:c r="D149" s="7" t="n">
        <x:f>IF(A149=$B$7,ROUND(C149+E149,2),MIN($B$8,ROUND(C149+E149,2)))</x:f>
        <x:v>2742.78</x:v>
      </x:c>
      <x:c r="E149" s="7" t="n">
        <x:f>ROUND(C149*$B$6/12,2)</x:f>
        <x:v>1590.27</x:v>
      </x:c>
      <x:c r="F149" s="7" t="n">
        <x:f>ROUND(D149-E149,2)</x:f>
        <x:v>1152.51</x:v>
      </x:c>
      <x:c r="G149" s="7" t="n">
        <x:f>ROUND(C149-F149,2)</x:f>
        <x:v>297023.21</x:v>
      </x:c>
      <x:c r="H149" s="7" t="n">
        <x:f>ROUND(D149-E149-F149,2)</x:f>
        <x:v>0</x:v>
      </x:c>
      <x:c r="I149" s="1" t="str">
        <x:v>Projection</x:v>
      </x:c>
    </x:row>
    <x:row r="150" ht="21" customHeight="1">
      <x:c r="A150" s="1" t="n">
        <x:v>139</x:v>
      </x:c>
      <x:c r="B150" s="6" t="n">
        <x:v>50071</x:v>
      </x:c>
      <x:c r="C150" s="7" t="n">
        <x:f>G149</x:f>
        <x:v>297023.21</x:v>
      </x:c>
      <x:c r="D150" s="7" t="n">
        <x:f>IF(A150=$B$7,ROUND(C150+E150,2),MIN($B$8,ROUND(C150+E150,2)))</x:f>
        <x:v>2742.78</x:v>
      </x:c>
      <x:c r="E150" s="7" t="n">
        <x:f>ROUND(C150*$B$6/12,2)</x:f>
        <x:v>1584.12</x:v>
      </x:c>
      <x:c r="F150" s="7" t="n">
        <x:f>ROUND(D150-E150,2)</x:f>
        <x:v>1158.66</x:v>
      </x:c>
      <x:c r="G150" s="7" t="n">
        <x:f>ROUND(C150-F150,2)</x:f>
        <x:v>295864.55</x:v>
      </x:c>
      <x:c r="H150" s="7" t="n">
        <x:f>ROUND(D150-E150-F150,2)</x:f>
        <x:v>0</x:v>
      </x:c>
      <x:c r="I150" s="1" t="str">
        <x:v>Projection</x:v>
      </x:c>
    </x:row>
    <x:row r="151" ht="21" customHeight="1">
      <x:c r="A151" s="1" t="n">
        <x:v>140</x:v>
      </x:c>
      <x:c r="B151" s="6" t="n">
        <x:v>50099</x:v>
      </x:c>
      <x:c r="C151" s="7" t="n">
        <x:f>G150</x:f>
        <x:v>295864.55</x:v>
      </x:c>
      <x:c r="D151" s="7" t="n">
        <x:f>IF(A151=$B$7,ROUND(C151+E151,2),MIN($B$8,ROUND(C151+E151,2)))</x:f>
        <x:v>2742.78</x:v>
      </x:c>
      <x:c r="E151" s="7" t="n">
        <x:f>ROUND(C151*$B$6/12,2)</x:f>
        <x:v>1577.94</x:v>
      </x:c>
      <x:c r="F151" s="7" t="n">
        <x:f>ROUND(D151-E151,2)</x:f>
        <x:v>1164.84</x:v>
      </x:c>
      <x:c r="G151" s="7" t="n">
        <x:f>ROUND(C151-F151,2)</x:f>
        <x:v>294699.71</x:v>
      </x:c>
      <x:c r="H151" s="7" t="n">
        <x:f>ROUND(D151-E151-F151,2)</x:f>
        <x:v>0</x:v>
      </x:c>
      <x:c r="I151" s="1" t="str">
        <x:v>Projection</x:v>
      </x:c>
    </x:row>
    <x:row r="152" ht="21" customHeight="1">
      <x:c r="A152" s="1" t="n">
        <x:v>141</x:v>
      </x:c>
      <x:c r="B152" s="6" t="n">
        <x:v>50130</x:v>
      </x:c>
      <x:c r="C152" s="7" t="n">
        <x:f>G151</x:f>
        <x:v>294699.71</x:v>
      </x:c>
      <x:c r="D152" s="7" t="n">
        <x:f>IF(A152=$B$7,ROUND(C152+E152,2),MIN($B$8,ROUND(C152+E152,2)))</x:f>
        <x:v>2742.78</x:v>
      </x:c>
      <x:c r="E152" s="7" t="n">
        <x:f>ROUND(C152*$B$6/12,2)</x:f>
        <x:v>1571.73</x:v>
      </x:c>
      <x:c r="F152" s="7" t="n">
        <x:f>ROUND(D152-E152,2)</x:f>
        <x:v>1171.05</x:v>
      </x:c>
      <x:c r="G152" s="7" t="n">
        <x:f>ROUND(C152-F152,2)</x:f>
        <x:v>293528.66</x:v>
      </x:c>
      <x:c r="H152" s="7" t="n">
        <x:f>ROUND(D152-E152-F152,2)</x:f>
        <x:v>0</x:v>
      </x:c>
      <x:c r="I152" s="1" t="str">
        <x:v>Projection</x:v>
      </x:c>
    </x:row>
    <x:row r="153" ht="21" customHeight="1">
      <x:c r="A153" s="1" t="n">
        <x:v>142</x:v>
      </x:c>
      <x:c r="B153" s="6" t="n">
        <x:v>50160</x:v>
      </x:c>
      <x:c r="C153" s="7" t="n">
        <x:f>G152</x:f>
        <x:v>293528.66</x:v>
      </x:c>
      <x:c r="D153" s="7" t="n">
        <x:f>IF(A153=$B$7,ROUND(C153+E153,2),MIN($B$8,ROUND(C153+E153,2)))</x:f>
        <x:v>2742.78</x:v>
      </x:c>
      <x:c r="E153" s="7" t="n">
        <x:f>ROUND(C153*$B$6/12,2)</x:f>
        <x:v>1565.49</x:v>
      </x:c>
      <x:c r="F153" s="7" t="n">
        <x:f>ROUND(D153-E153,2)</x:f>
        <x:v>1177.29</x:v>
      </x:c>
      <x:c r="G153" s="7" t="n">
        <x:f>ROUND(C153-F153,2)</x:f>
        <x:v>292351.37</x:v>
      </x:c>
      <x:c r="H153" s="7" t="n">
        <x:f>ROUND(D153-E153-F153,2)</x:f>
        <x:v>0</x:v>
      </x:c>
      <x:c r="I153" s="1" t="str">
        <x:v>Projection</x:v>
      </x:c>
    </x:row>
    <x:row r="154" ht="21" customHeight="1">
      <x:c r="A154" s="1" t="n">
        <x:v>143</x:v>
      </x:c>
      <x:c r="B154" s="6" t="n">
        <x:v>50191</x:v>
      </x:c>
      <x:c r="C154" s="7" t="n">
        <x:f>G153</x:f>
        <x:v>292351.37</x:v>
      </x:c>
      <x:c r="D154" s="7" t="n">
        <x:f>IF(A154=$B$7,ROUND(C154+E154,2),MIN($B$8,ROUND(C154+E154,2)))</x:f>
        <x:v>2742.78</x:v>
      </x:c>
      <x:c r="E154" s="7" t="n">
        <x:f>ROUND(C154*$B$6/12,2)</x:f>
        <x:v>1559.21</x:v>
      </x:c>
      <x:c r="F154" s="7" t="n">
        <x:f>ROUND(D154-E154,2)</x:f>
        <x:v>1183.57</x:v>
      </x:c>
      <x:c r="G154" s="7" t="n">
        <x:f>ROUND(C154-F154,2)</x:f>
        <x:v>291167.8</x:v>
      </x:c>
      <x:c r="H154" s="7" t="n">
        <x:f>ROUND(D154-E154-F154,2)</x:f>
        <x:v>0</x:v>
      </x:c>
      <x:c r="I154" s="1" t="str">
        <x:v>Projection</x:v>
      </x:c>
    </x:row>
    <x:row r="155" ht="21" customHeight="1">
      <x:c r="A155" s="1" t="n">
        <x:v>144</x:v>
      </x:c>
      <x:c r="B155" s="6" t="n">
        <x:v>50221</x:v>
      </x:c>
      <x:c r="C155" s="7" t="n">
        <x:f>G154</x:f>
        <x:v>291167.8</x:v>
      </x:c>
      <x:c r="D155" s="7" t="n">
        <x:f>IF(A155=$B$7,ROUND(C155+E155,2),MIN($B$8,ROUND(C155+E155,2)))</x:f>
        <x:v>2742.78</x:v>
      </x:c>
      <x:c r="E155" s="7" t="n">
        <x:f>ROUND(C155*$B$6/12,2)</x:f>
        <x:v>1552.89</x:v>
      </x:c>
      <x:c r="F155" s="7" t="n">
        <x:f>ROUND(D155-E155,2)</x:f>
        <x:v>1189.89</x:v>
      </x:c>
      <x:c r="G155" s="7" t="n">
        <x:f>ROUND(C155-F155,2)</x:f>
        <x:v>289977.91</x:v>
      </x:c>
      <x:c r="H155" s="7" t="n">
        <x:f>ROUND(D155-E155-F155,2)</x:f>
        <x:v>0</x:v>
      </x:c>
      <x:c r="I155" s="1" t="str">
        <x:v>Projection</x:v>
      </x:c>
    </x:row>
    <x:row r="156" ht="21" customHeight="1">
      <x:c r="A156" s="1" t="n">
        <x:v>145</x:v>
      </x:c>
      <x:c r="B156" s="6" t="n">
        <x:v>50252</x:v>
      </x:c>
      <x:c r="C156" s="7" t="n">
        <x:f>G155</x:f>
        <x:v>289977.91</x:v>
      </x:c>
      <x:c r="D156" s="7" t="n">
        <x:f>IF(A156=$B$7,ROUND(C156+E156,2),MIN($B$8,ROUND(C156+E156,2)))</x:f>
        <x:v>2742.78</x:v>
      </x:c>
      <x:c r="E156" s="7" t="n">
        <x:f>ROUND(C156*$B$6/12,2)</x:f>
        <x:v>1546.55</x:v>
      </x:c>
      <x:c r="F156" s="7" t="n">
        <x:f>ROUND(D156-E156,2)</x:f>
        <x:v>1196.23</x:v>
      </x:c>
      <x:c r="G156" s="7" t="n">
        <x:f>ROUND(C156-F156,2)</x:f>
        <x:v>288781.68</x:v>
      </x:c>
      <x:c r="H156" s="7" t="n">
        <x:f>ROUND(D156-E156-F156,2)</x:f>
        <x:v>0</x:v>
      </x:c>
      <x:c r="I156" s="1" t="str">
        <x:v>Projection</x:v>
      </x:c>
    </x:row>
    <x:row r="157" ht="21" customHeight="1">
      <x:c r="A157" s="1" t="n">
        <x:v>146</x:v>
      </x:c>
      <x:c r="B157" s="6" t="n">
        <x:v>50283</x:v>
      </x:c>
      <x:c r="C157" s="7" t="n">
        <x:f>G156</x:f>
        <x:v>288781.68</x:v>
      </x:c>
      <x:c r="D157" s="7" t="n">
        <x:f>IF(A157=$B$7,ROUND(C157+E157,2),MIN($B$8,ROUND(C157+E157,2)))</x:f>
        <x:v>2742.78</x:v>
      </x:c>
      <x:c r="E157" s="7" t="n">
        <x:f>ROUND(C157*$B$6/12,2)</x:f>
        <x:v>1540.17</x:v>
      </x:c>
      <x:c r="F157" s="7" t="n">
        <x:f>ROUND(D157-E157,2)</x:f>
        <x:v>1202.61</x:v>
      </x:c>
      <x:c r="G157" s="7" t="n">
        <x:f>ROUND(C157-F157,2)</x:f>
        <x:v>287579.07</x:v>
      </x:c>
      <x:c r="H157" s="7" t="n">
        <x:f>ROUND(D157-E157-F157,2)</x:f>
        <x:v>0</x:v>
      </x:c>
      <x:c r="I157" s="1" t="str">
        <x:v>Projection</x:v>
      </x:c>
    </x:row>
    <x:row r="158" ht="21" customHeight="1">
      <x:c r="A158" s="1" t="n">
        <x:v>147</x:v>
      </x:c>
      <x:c r="B158" s="6" t="n">
        <x:v>50313</x:v>
      </x:c>
      <x:c r="C158" s="7" t="n">
        <x:f>G157</x:f>
        <x:v>287579.07</x:v>
      </x:c>
      <x:c r="D158" s="7" t="n">
        <x:f>IF(A158=$B$7,ROUND(C158+E158,2),MIN($B$8,ROUND(C158+E158,2)))</x:f>
        <x:v>2742.78</x:v>
      </x:c>
      <x:c r="E158" s="7" t="n">
        <x:f>ROUND(C158*$B$6/12,2)</x:f>
        <x:v>1533.76</x:v>
      </x:c>
      <x:c r="F158" s="7" t="n">
        <x:f>ROUND(D158-E158,2)</x:f>
        <x:v>1209.02</x:v>
      </x:c>
      <x:c r="G158" s="7" t="n">
        <x:f>ROUND(C158-F158,2)</x:f>
        <x:v>286370.05</x:v>
      </x:c>
      <x:c r="H158" s="7" t="n">
        <x:f>ROUND(D158-E158-F158,2)</x:f>
        <x:v>0</x:v>
      </x:c>
      <x:c r="I158" s="1" t="str">
        <x:v>Projection</x:v>
      </x:c>
    </x:row>
    <x:row r="159" ht="21" customHeight="1">
      <x:c r="A159" s="1" t="n">
        <x:v>148</x:v>
      </x:c>
      <x:c r="B159" s="6" t="n">
        <x:v>50344</x:v>
      </x:c>
      <x:c r="C159" s="7" t="n">
        <x:f>G158</x:f>
        <x:v>286370.05</x:v>
      </x:c>
      <x:c r="D159" s="7" t="n">
        <x:f>IF(A159=$B$7,ROUND(C159+E159,2),MIN($B$8,ROUND(C159+E159,2)))</x:f>
        <x:v>2742.78</x:v>
      </x:c>
      <x:c r="E159" s="7" t="n">
        <x:f>ROUND(C159*$B$6/12,2)</x:f>
        <x:v>1527.31</x:v>
      </x:c>
      <x:c r="F159" s="7" t="n">
        <x:f>ROUND(D159-E159,2)</x:f>
        <x:v>1215.47</x:v>
      </x:c>
      <x:c r="G159" s="7" t="n">
        <x:f>ROUND(C159-F159,2)</x:f>
        <x:v>285154.58</x:v>
      </x:c>
      <x:c r="H159" s="7" t="n">
        <x:f>ROUND(D159-E159-F159,2)</x:f>
        <x:v>0</x:v>
      </x:c>
      <x:c r="I159" s="1" t="str">
        <x:v>Projection</x:v>
      </x:c>
    </x:row>
    <x:row r="160" ht="21" customHeight="1">
      <x:c r="A160" s="1" t="n">
        <x:v>149</x:v>
      </x:c>
      <x:c r="B160" s="6" t="n">
        <x:v>50374</x:v>
      </x:c>
      <x:c r="C160" s="7" t="n">
        <x:f>G159</x:f>
        <x:v>285154.58</x:v>
      </x:c>
      <x:c r="D160" s="7" t="n">
        <x:f>IF(A160=$B$7,ROUND(C160+E160,2),MIN($B$8,ROUND(C160+E160,2)))</x:f>
        <x:v>2742.78</x:v>
      </x:c>
      <x:c r="E160" s="7" t="n">
        <x:f>ROUND(C160*$B$6/12,2)</x:f>
        <x:v>1520.82</x:v>
      </x:c>
      <x:c r="F160" s="7" t="n">
        <x:f>ROUND(D160-E160,2)</x:f>
        <x:v>1221.96</x:v>
      </x:c>
      <x:c r="G160" s="7" t="n">
        <x:f>ROUND(C160-F160,2)</x:f>
        <x:v>283932.62</x:v>
      </x:c>
      <x:c r="H160" s="7" t="n">
        <x:f>ROUND(D160-E160-F160,2)</x:f>
        <x:v>0</x:v>
      </x:c>
      <x:c r="I160" s="1" t="str">
        <x:v>Projection</x:v>
      </x:c>
    </x:row>
    <x:row r="161" ht="21" customHeight="1">
      <x:c r="A161" s="1" t="n">
        <x:v>150</x:v>
      </x:c>
      <x:c r="B161" s="6" t="n">
        <x:v>50405</x:v>
      </x:c>
      <x:c r="C161" s="7" t="n">
        <x:f>G160</x:f>
        <x:v>283932.62</x:v>
      </x:c>
      <x:c r="D161" s="7" t="n">
        <x:f>IF(A161=$B$7,ROUND(C161+E161,2),MIN($B$8,ROUND(C161+E161,2)))</x:f>
        <x:v>2742.78</x:v>
      </x:c>
      <x:c r="E161" s="7" t="n">
        <x:f>ROUND(C161*$B$6/12,2)</x:f>
        <x:v>1514.31</x:v>
      </x:c>
      <x:c r="F161" s="7" t="n">
        <x:f>ROUND(D161-E161,2)</x:f>
        <x:v>1228.47</x:v>
      </x:c>
      <x:c r="G161" s="7" t="n">
        <x:f>ROUND(C161-F161,2)</x:f>
        <x:v>282704.15</x:v>
      </x:c>
      <x:c r="H161" s="7" t="n">
        <x:f>ROUND(D161-E161-F161,2)</x:f>
        <x:v>0</x:v>
      </x:c>
      <x:c r="I161" s="1" t="str">
        <x:v>Projection</x:v>
      </x:c>
    </x:row>
    <x:row r="162" ht="21" customHeight="1">
      <x:c r="A162" s="1" t="n">
        <x:v>151</x:v>
      </x:c>
      <x:c r="B162" s="6" t="n">
        <x:v>50436</x:v>
      </x:c>
      <x:c r="C162" s="7" t="n">
        <x:f>G161</x:f>
        <x:v>282704.15</x:v>
      </x:c>
      <x:c r="D162" s="7" t="n">
        <x:f>IF(A162=$B$7,ROUND(C162+E162,2),MIN($B$8,ROUND(C162+E162,2)))</x:f>
        <x:v>2742.78</x:v>
      </x:c>
      <x:c r="E162" s="7" t="n">
        <x:f>ROUND(C162*$B$6/12,2)</x:f>
        <x:v>1507.76</x:v>
      </x:c>
      <x:c r="F162" s="7" t="n">
        <x:f>ROUND(D162-E162,2)</x:f>
        <x:v>1235.02</x:v>
      </x:c>
      <x:c r="G162" s="7" t="n">
        <x:f>ROUND(C162-F162,2)</x:f>
        <x:v>281469.13</x:v>
      </x:c>
      <x:c r="H162" s="7" t="n">
        <x:f>ROUND(D162-E162-F162,2)</x:f>
        <x:v>0</x:v>
      </x:c>
      <x:c r="I162" s="1" t="str">
        <x:v>Projection</x:v>
      </x:c>
    </x:row>
    <x:row r="163" ht="21" customHeight="1">
      <x:c r="A163" s="1" t="n">
        <x:v>152</x:v>
      </x:c>
      <x:c r="B163" s="6" t="n">
        <x:v>50464</x:v>
      </x:c>
      <x:c r="C163" s="7" t="n">
        <x:f>G162</x:f>
        <x:v>281469.13</x:v>
      </x:c>
      <x:c r="D163" s="7" t="n">
        <x:f>IF(A163=$B$7,ROUND(C163+E163,2),MIN($B$8,ROUND(C163+E163,2)))</x:f>
        <x:v>2742.78</x:v>
      </x:c>
      <x:c r="E163" s="7" t="n">
        <x:f>ROUND(C163*$B$6/12,2)</x:f>
        <x:v>1501.17</x:v>
      </x:c>
      <x:c r="F163" s="7" t="n">
        <x:f>ROUND(D163-E163,2)</x:f>
        <x:v>1241.61</x:v>
      </x:c>
      <x:c r="G163" s="7" t="n">
        <x:f>ROUND(C163-F163,2)</x:f>
        <x:v>280227.52</x:v>
      </x:c>
      <x:c r="H163" s="7" t="n">
        <x:f>ROUND(D163-E163-F163,2)</x:f>
        <x:v>0</x:v>
      </x:c>
      <x:c r="I163" s="1" t="str">
        <x:v>Projection</x:v>
      </x:c>
    </x:row>
    <x:row r="164" ht="21" customHeight="1">
      <x:c r="A164" s="1" t="n">
        <x:v>153</x:v>
      </x:c>
      <x:c r="B164" s="6" t="n">
        <x:v>50495</x:v>
      </x:c>
      <x:c r="C164" s="7" t="n">
        <x:f>G163</x:f>
        <x:v>280227.52</x:v>
      </x:c>
      <x:c r="D164" s="7" t="n">
        <x:f>IF(A164=$B$7,ROUND(C164+E164,2),MIN($B$8,ROUND(C164+E164,2)))</x:f>
        <x:v>2742.78</x:v>
      </x:c>
      <x:c r="E164" s="7" t="n">
        <x:f>ROUND(C164*$B$6/12,2)</x:f>
        <x:v>1494.55</x:v>
      </x:c>
      <x:c r="F164" s="7" t="n">
        <x:f>ROUND(D164-E164,2)</x:f>
        <x:v>1248.23</x:v>
      </x:c>
      <x:c r="G164" s="7" t="n">
        <x:f>ROUND(C164-F164,2)</x:f>
        <x:v>278979.29</x:v>
      </x:c>
      <x:c r="H164" s="7" t="n">
        <x:f>ROUND(D164-E164-F164,2)</x:f>
        <x:v>0</x:v>
      </x:c>
      <x:c r="I164" s="1" t="str">
        <x:v>Projection</x:v>
      </x:c>
    </x:row>
    <x:row r="165" ht="21" customHeight="1">
      <x:c r="A165" s="1" t="n">
        <x:v>154</x:v>
      </x:c>
      <x:c r="B165" s="6" t="n">
        <x:v>50525</x:v>
      </x:c>
      <x:c r="C165" s="7" t="n">
        <x:f>G164</x:f>
        <x:v>278979.29</x:v>
      </x:c>
      <x:c r="D165" s="7" t="n">
        <x:f>IF(A165=$B$7,ROUND(C165+E165,2),MIN($B$8,ROUND(C165+E165,2)))</x:f>
        <x:v>2742.78</x:v>
      </x:c>
      <x:c r="E165" s="7" t="n">
        <x:f>ROUND(C165*$B$6/12,2)</x:f>
        <x:v>1487.89</x:v>
      </x:c>
      <x:c r="F165" s="7" t="n">
        <x:f>ROUND(D165-E165,2)</x:f>
        <x:v>1254.89</x:v>
      </x:c>
      <x:c r="G165" s="7" t="n">
        <x:f>ROUND(C165-F165,2)</x:f>
        <x:v>277724.4</x:v>
      </x:c>
      <x:c r="H165" s="7" t="n">
        <x:f>ROUND(D165-E165-F165,2)</x:f>
        <x:v>0</x:v>
      </x:c>
      <x:c r="I165" s="1" t="str">
        <x:v>Projection</x:v>
      </x:c>
    </x:row>
    <x:row r="166" ht="21" customHeight="1">
      <x:c r="A166" s="1" t="n">
        <x:v>155</x:v>
      </x:c>
      <x:c r="B166" s="6" t="n">
        <x:v>50556</x:v>
      </x:c>
      <x:c r="C166" s="7" t="n">
        <x:f>G165</x:f>
        <x:v>277724.4</x:v>
      </x:c>
      <x:c r="D166" s="7" t="n">
        <x:f>IF(A166=$B$7,ROUND(C166+E166,2),MIN($B$8,ROUND(C166+E166,2)))</x:f>
        <x:v>2742.78</x:v>
      </x:c>
      <x:c r="E166" s="7" t="n">
        <x:f>ROUND(C166*$B$6/12,2)</x:f>
        <x:v>1481.2</x:v>
      </x:c>
      <x:c r="F166" s="7" t="n">
        <x:f>ROUND(D166-E166,2)</x:f>
        <x:v>1261.58</x:v>
      </x:c>
      <x:c r="G166" s="7" t="n">
        <x:f>ROUND(C166-F166,2)</x:f>
        <x:v>276462.82</x:v>
      </x:c>
      <x:c r="H166" s="7" t="n">
        <x:f>ROUND(D166-E166-F166,2)</x:f>
        <x:v>0</x:v>
      </x:c>
      <x:c r="I166" s="1" t="str">
        <x:v>Projection</x:v>
      </x:c>
    </x:row>
    <x:row r="167" ht="21" customHeight="1">
      <x:c r="A167" s="1" t="n">
        <x:v>156</x:v>
      </x:c>
      <x:c r="B167" s="6" t="n">
        <x:v>50586</x:v>
      </x:c>
      <x:c r="C167" s="7" t="n">
        <x:f>G166</x:f>
        <x:v>276462.82</x:v>
      </x:c>
      <x:c r="D167" s="7" t="n">
        <x:f>IF(A167=$B$7,ROUND(C167+E167,2),MIN($B$8,ROUND(C167+E167,2)))</x:f>
        <x:v>2742.78</x:v>
      </x:c>
      <x:c r="E167" s="7" t="n">
        <x:f>ROUND(C167*$B$6/12,2)</x:f>
        <x:v>1474.47</x:v>
      </x:c>
      <x:c r="F167" s="7" t="n">
        <x:f>ROUND(D167-E167,2)</x:f>
        <x:v>1268.31</x:v>
      </x:c>
      <x:c r="G167" s="7" t="n">
        <x:f>ROUND(C167-F167,2)</x:f>
        <x:v>275194.51</x:v>
      </x:c>
      <x:c r="H167" s="7" t="n">
        <x:f>ROUND(D167-E167-F167,2)</x:f>
        <x:v>0</x:v>
      </x:c>
      <x:c r="I167" s="1" t="str">
        <x:v>Projection</x:v>
      </x:c>
    </x:row>
    <x:row r="168" ht="21" customHeight="1">
      <x:c r="A168" s="1" t="n">
        <x:v>157</x:v>
      </x:c>
      <x:c r="B168" s="6" t="n">
        <x:v>50617</x:v>
      </x:c>
      <x:c r="C168" s="7" t="n">
        <x:f>G167</x:f>
        <x:v>275194.51</x:v>
      </x:c>
      <x:c r="D168" s="7" t="n">
        <x:f>IF(A168=$B$7,ROUND(C168+E168,2),MIN($B$8,ROUND(C168+E168,2)))</x:f>
        <x:v>2742.78</x:v>
      </x:c>
      <x:c r="E168" s="7" t="n">
        <x:f>ROUND(C168*$B$6/12,2)</x:f>
        <x:v>1467.7</x:v>
      </x:c>
      <x:c r="F168" s="7" t="n">
        <x:f>ROUND(D168-E168,2)</x:f>
        <x:v>1275.08</x:v>
      </x:c>
      <x:c r="G168" s="7" t="n">
        <x:f>ROUND(C168-F168,2)</x:f>
        <x:v>273919.43</x:v>
      </x:c>
      <x:c r="H168" s="7" t="n">
        <x:f>ROUND(D168-E168-F168,2)</x:f>
        <x:v>0</x:v>
      </x:c>
      <x:c r="I168" s="1" t="str">
        <x:v>Projection</x:v>
      </x:c>
    </x:row>
    <x:row r="169" ht="21" customHeight="1">
      <x:c r="A169" s="1" t="n">
        <x:v>158</x:v>
      </x:c>
      <x:c r="B169" s="6" t="n">
        <x:v>50648</x:v>
      </x:c>
      <x:c r="C169" s="7" t="n">
        <x:f>G168</x:f>
        <x:v>273919.43</x:v>
      </x:c>
      <x:c r="D169" s="7" t="n">
        <x:f>IF(A169=$B$7,ROUND(C169+E169,2),MIN($B$8,ROUND(C169+E169,2)))</x:f>
        <x:v>2742.78</x:v>
      </x:c>
      <x:c r="E169" s="7" t="n">
        <x:f>ROUND(C169*$B$6/12,2)</x:f>
        <x:v>1460.9</x:v>
      </x:c>
      <x:c r="F169" s="7" t="n">
        <x:f>ROUND(D169-E169,2)</x:f>
        <x:v>1281.88</x:v>
      </x:c>
      <x:c r="G169" s="7" t="n">
        <x:f>ROUND(C169-F169,2)</x:f>
        <x:v>272637.55</x:v>
      </x:c>
      <x:c r="H169" s="7" t="n">
        <x:f>ROUND(D169-E169-F169,2)</x:f>
        <x:v>0</x:v>
      </x:c>
      <x:c r="I169" s="1" t="str">
        <x:v>Projection</x:v>
      </x:c>
    </x:row>
    <x:row r="170" ht="21" customHeight="1">
      <x:c r="A170" s="1" t="n">
        <x:v>159</x:v>
      </x:c>
      <x:c r="B170" s="6" t="n">
        <x:v>50678</x:v>
      </x:c>
      <x:c r="C170" s="7" t="n">
        <x:f>G169</x:f>
        <x:v>272637.55</x:v>
      </x:c>
      <x:c r="D170" s="7" t="n">
        <x:f>IF(A170=$B$7,ROUND(C170+E170,2),MIN($B$8,ROUND(C170+E170,2)))</x:f>
        <x:v>2742.78</x:v>
      </x:c>
      <x:c r="E170" s="7" t="n">
        <x:f>ROUND(C170*$B$6/12,2)</x:f>
        <x:v>1454.07</x:v>
      </x:c>
      <x:c r="F170" s="7" t="n">
        <x:f>ROUND(D170-E170,2)</x:f>
        <x:v>1288.71</x:v>
      </x:c>
      <x:c r="G170" s="7" t="n">
        <x:f>ROUND(C170-F170,2)</x:f>
        <x:v>271348.84</x:v>
      </x:c>
      <x:c r="H170" s="7" t="n">
        <x:f>ROUND(D170-E170-F170,2)</x:f>
        <x:v>0</x:v>
      </x:c>
      <x:c r="I170" s="1" t="str">
        <x:v>Projection</x:v>
      </x:c>
    </x:row>
    <x:row r="171" ht="21" customHeight="1">
      <x:c r="A171" s="1" t="n">
        <x:v>160</x:v>
      </x:c>
      <x:c r="B171" s="6" t="n">
        <x:v>50709</x:v>
      </x:c>
      <x:c r="C171" s="7" t="n">
        <x:f>G170</x:f>
        <x:v>271348.84</x:v>
      </x:c>
      <x:c r="D171" s="7" t="n">
        <x:f>IF(A171=$B$7,ROUND(C171+E171,2),MIN($B$8,ROUND(C171+E171,2)))</x:f>
        <x:v>2742.78</x:v>
      </x:c>
      <x:c r="E171" s="7" t="n">
        <x:f>ROUND(C171*$B$6/12,2)</x:f>
        <x:v>1447.19</x:v>
      </x:c>
      <x:c r="F171" s="7" t="n">
        <x:f>ROUND(D171-E171,2)</x:f>
        <x:v>1295.59</x:v>
      </x:c>
      <x:c r="G171" s="7" t="n">
        <x:f>ROUND(C171-F171,2)</x:f>
        <x:v>270053.25</x:v>
      </x:c>
      <x:c r="H171" s="7" t="n">
        <x:f>ROUND(D171-E171-F171,2)</x:f>
        <x:v>0</x:v>
      </x:c>
      <x:c r="I171" s="1" t="str">
        <x:v>Projection</x:v>
      </x:c>
    </x:row>
    <x:row r="172" ht="21" customHeight="1">
      <x:c r="A172" s="1" t="n">
        <x:v>161</x:v>
      </x:c>
      <x:c r="B172" s="6" t="n">
        <x:v>50739</x:v>
      </x:c>
      <x:c r="C172" s="7" t="n">
        <x:f>G171</x:f>
        <x:v>270053.25</x:v>
      </x:c>
      <x:c r="D172" s="7" t="n">
        <x:f>IF(A172=$B$7,ROUND(C172+E172,2),MIN($B$8,ROUND(C172+E172,2)))</x:f>
        <x:v>2742.78</x:v>
      </x:c>
      <x:c r="E172" s="7" t="n">
        <x:f>ROUND(C172*$B$6/12,2)</x:f>
        <x:v>1440.28</x:v>
      </x:c>
      <x:c r="F172" s="7" t="n">
        <x:f>ROUND(D172-E172,2)</x:f>
        <x:v>1302.5</x:v>
      </x:c>
      <x:c r="G172" s="7" t="n">
        <x:f>ROUND(C172-F172,2)</x:f>
        <x:v>268750.75</x:v>
      </x:c>
      <x:c r="H172" s="7" t="n">
        <x:f>ROUND(D172-E172-F172,2)</x:f>
        <x:v>0</x:v>
      </x:c>
      <x:c r="I172" s="1" t="str">
        <x:v>Projection</x:v>
      </x:c>
    </x:row>
    <x:row r="173" ht="21" customHeight="1">
      <x:c r="A173" s="1" t="n">
        <x:v>162</x:v>
      </x:c>
      <x:c r="B173" s="6" t="n">
        <x:v>50770</x:v>
      </x:c>
      <x:c r="C173" s="7" t="n">
        <x:f>G172</x:f>
        <x:v>268750.75</x:v>
      </x:c>
      <x:c r="D173" s="7" t="n">
        <x:f>IF(A173=$B$7,ROUND(C173+E173,2),MIN($B$8,ROUND(C173+E173,2)))</x:f>
        <x:v>2742.78</x:v>
      </x:c>
      <x:c r="E173" s="7" t="n">
        <x:f>ROUND(C173*$B$6/12,2)</x:f>
        <x:v>1433.34</x:v>
      </x:c>
      <x:c r="F173" s="7" t="n">
        <x:f>ROUND(D173-E173,2)</x:f>
        <x:v>1309.44</x:v>
      </x:c>
      <x:c r="G173" s="7" t="n">
        <x:f>ROUND(C173-F173,2)</x:f>
        <x:v>267441.31</x:v>
      </x:c>
      <x:c r="H173" s="7" t="n">
        <x:f>ROUND(D173-E173-F173,2)</x:f>
        <x:v>0</x:v>
      </x:c>
      <x:c r="I173" s="1" t="str">
        <x:v>Projection</x:v>
      </x:c>
    </x:row>
    <x:row r="174" ht="21" customHeight="1">
      <x:c r="A174" s="1" t="n">
        <x:v>163</x:v>
      </x:c>
      <x:c r="B174" s="6" t="n">
        <x:v>50801</x:v>
      </x:c>
      <x:c r="C174" s="7" t="n">
        <x:f>G173</x:f>
        <x:v>267441.31</x:v>
      </x:c>
      <x:c r="D174" s="7" t="n">
        <x:f>IF(A174=$B$7,ROUND(C174+E174,2),MIN($B$8,ROUND(C174+E174,2)))</x:f>
        <x:v>2742.78</x:v>
      </x:c>
      <x:c r="E174" s="7" t="n">
        <x:f>ROUND(C174*$B$6/12,2)</x:f>
        <x:v>1426.35</x:v>
      </x:c>
      <x:c r="F174" s="7" t="n">
        <x:f>ROUND(D174-E174,2)</x:f>
        <x:v>1316.43</x:v>
      </x:c>
      <x:c r="G174" s="7" t="n">
        <x:f>ROUND(C174-F174,2)</x:f>
        <x:v>266124.88</x:v>
      </x:c>
      <x:c r="H174" s="7" t="n">
        <x:f>ROUND(D174-E174-F174,2)</x:f>
        <x:v>0</x:v>
      </x:c>
      <x:c r="I174" s="1" t="str">
        <x:v>Projection</x:v>
      </x:c>
    </x:row>
    <x:row r="175" ht="21" customHeight="1">
      <x:c r="A175" s="1" t="n">
        <x:v>164</x:v>
      </x:c>
      <x:c r="B175" s="6" t="n">
        <x:v>50829</x:v>
      </x:c>
      <x:c r="C175" s="7" t="n">
        <x:f>G174</x:f>
        <x:v>266124.88</x:v>
      </x:c>
      <x:c r="D175" s="7" t="n">
        <x:f>IF(A175=$B$7,ROUND(C175+E175,2),MIN($B$8,ROUND(C175+E175,2)))</x:f>
        <x:v>2742.78</x:v>
      </x:c>
      <x:c r="E175" s="7" t="n">
        <x:f>ROUND(C175*$B$6/12,2)</x:f>
        <x:v>1419.33</x:v>
      </x:c>
      <x:c r="F175" s="7" t="n">
        <x:f>ROUND(D175-E175,2)</x:f>
        <x:v>1323.45</x:v>
      </x:c>
      <x:c r="G175" s="7" t="n">
        <x:f>ROUND(C175-F175,2)</x:f>
        <x:v>264801.43</x:v>
      </x:c>
      <x:c r="H175" s="7" t="n">
        <x:f>ROUND(D175-E175-F175,2)</x:f>
        <x:v>0</x:v>
      </x:c>
      <x:c r="I175" s="1" t="str">
        <x:v>Projection</x:v>
      </x:c>
    </x:row>
    <x:row r="176" ht="21" customHeight="1">
      <x:c r="A176" s="1" t="n">
        <x:v>165</x:v>
      </x:c>
      <x:c r="B176" s="6" t="n">
        <x:v>50860</x:v>
      </x:c>
      <x:c r="C176" s="7" t="n">
        <x:f>G175</x:f>
        <x:v>264801.43</x:v>
      </x:c>
      <x:c r="D176" s="7" t="n">
        <x:f>IF(A176=$B$7,ROUND(C176+E176,2),MIN($B$8,ROUND(C176+E176,2)))</x:f>
        <x:v>2742.78</x:v>
      </x:c>
      <x:c r="E176" s="7" t="n">
        <x:f>ROUND(C176*$B$6/12,2)</x:f>
        <x:v>1412.27</x:v>
      </x:c>
      <x:c r="F176" s="7" t="n">
        <x:f>ROUND(D176-E176,2)</x:f>
        <x:v>1330.51</x:v>
      </x:c>
      <x:c r="G176" s="7" t="n">
        <x:f>ROUND(C176-F176,2)</x:f>
        <x:v>263470.92</x:v>
      </x:c>
      <x:c r="H176" s="7" t="n">
        <x:f>ROUND(D176-E176-F176,2)</x:f>
        <x:v>0</x:v>
      </x:c>
      <x:c r="I176" s="1" t="str">
        <x:v>Projection</x:v>
      </x:c>
    </x:row>
    <x:row r="177" ht="21" customHeight="1">
      <x:c r="A177" s="1" t="n">
        <x:v>166</x:v>
      </x:c>
      <x:c r="B177" s="6" t="n">
        <x:v>50890</x:v>
      </x:c>
      <x:c r="C177" s="7" t="n">
        <x:f>G176</x:f>
        <x:v>263470.92</x:v>
      </x:c>
      <x:c r="D177" s="7" t="n">
        <x:f>IF(A177=$B$7,ROUND(C177+E177,2),MIN($B$8,ROUND(C177+E177,2)))</x:f>
        <x:v>2742.78</x:v>
      </x:c>
      <x:c r="E177" s="7" t="n">
        <x:f>ROUND(C177*$B$6/12,2)</x:f>
        <x:v>1405.18</x:v>
      </x:c>
      <x:c r="F177" s="7" t="n">
        <x:f>ROUND(D177-E177,2)</x:f>
        <x:v>1337.6</x:v>
      </x:c>
      <x:c r="G177" s="7" t="n">
        <x:f>ROUND(C177-F177,2)</x:f>
        <x:v>262133.32</x:v>
      </x:c>
      <x:c r="H177" s="7" t="n">
        <x:f>ROUND(D177-E177-F177,2)</x:f>
        <x:v>0</x:v>
      </x:c>
      <x:c r="I177" s="1" t="str">
        <x:v>Projection</x:v>
      </x:c>
    </x:row>
    <x:row r="178" ht="21" customHeight="1">
      <x:c r="A178" s="1" t="n">
        <x:v>167</x:v>
      </x:c>
      <x:c r="B178" s="6" t="n">
        <x:v>50921</x:v>
      </x:c>
      <x:c r="C178" s="7" t="n">
        <x:f>G177</x:f>
        <x:v>262133.32</x:v>
      </x:c>
      <x:c r="D178" s="7" t="n">
        <x:f>IF(A178=$B$7,ROUND(C178+E178,2),MIN($B$8,ROUND(C178+E178,2)))</x:f>
        <x:v>2742.78</x:v>
      </x:c>
      <x:c r="E178" s="7" t="n">
        <x:f>ROUND(C178*$B$6/12,2)</x:f>
        <x:v>1398.04</x:v>
      </x:c>
      <x:c r="F178" s="7" t="n">
        <x:f>ROUND(D178-E178,2)</x:f>
        <x:v>1344.74</x:v>
      </x:c>
      <x:c r="G178" s="7" t="n">
        <x:f>ROUND(C178-F178,2)</x:f>
        <x:v>260788.58</x:v>
      </x:c>
      <x:c r="H178" s="7" t="n">
        <x:f>ROUND(D178-E178-F178,2)</x:f>
        <x:v>0</x:v>
      </x:c>
      <x:c r="I178" s="1" t="str">
        <x:v>Projection</x:v>
      </x:c>
    </x:row>
    <x:row r="179" ht="21" customHeight="1">
      <x:c r="A179" s="1" t="n">
        <x:v>168</x:v>
      </x:c>
      <x:c r="B179" s="6" t="n">
        <x:v>50951</x:v>
      </x:c>
      <x:c r="C179" s="7" t="n">
        <x:f>G178</x:f>
        <x:v>260788.58</x:v>
      </x:c>
      <x:c r="D179" s="7" t="n">
        <x:f>IF(A179=$B$7,ROUND(C179+E179,2),MIN($B$8,ROUND(C179+E179,2)))</x:f>
        <x:v>2742.78</x:v>
      </x:c>
      <x:c r="E179" s="7" t="n">
        <x:f>ROUND(C179*$B$6/12,2)</x:f>
        <x:v>1390.87</x:v>
      </x:c>
      <x:c r="F179" s="7" t="n">
        <x:f>ROUND(D179-E179,2)</x:f>
        <x:v>1351.91</x:v>
      </x:c>
      <x:c r="G179" s="7" t="n">
        <x:f>ROUND(C179-F179,2)</x:f>
        <x:v>259436.67</x:v>
      </x:c>
      <x:c r="H179" s="7" t="n">
        <x:f>ROUND(D179-E179-F179,2)</x:f>
        <x:v>0</x:v>
      </x:c>
      <x:c r="I179" s="1" t="str">
        <x:v>Projection</x:v>
      </x:c>
    </x:row>
    <x:row r="180" ht="21" customHeight="1">
      <x:c r="A180" s="1" t="n">
        <x:v>169</x:v>
      </x:c>
      <x:c r="B180" s="6" t="n">
        <x:v>50982</x:v>
      </x:c>
      <x:c r="C180" s="7" t="n">
        <x:f>G179</x:f>
        <x:v>259436.67</x:v>
      </x:c>
      <x:c r="D180" s="7" t="n">
        <x:f>IF(A180=$B$7,ROUND(C180+E180,2),MIN($B$8,ROUND(C180+E180,2)))</x:f>
        <x:v>2742.78</x:v>
      </x:c>
      <x:c r="E180" s="7" t="n">
        <x:f>ROUND(C180*$B$6/12,2)</x:f>
        <x:v>1383.66</x:v>
      </x:c>
      <x:c r="F180" s="7" t="n">
        <x:f>ROUND(D180-E180,2)</x:f>
        <x:v>1359.12</x:v>
      </x:c>
      <x:c r="G180" s="7" t="n">
        <x:f>ROUND(C180-F180,2)</x:f>
        <x:v>258077.55</x:v>
      </x:c>
      <x:c r="H180" s="7" t="n">
        <x:f>ROUND(D180-E180-F180,2)</x:f>
        <x:v>0</x:v>
      </x:c>
      <x:c r="I180" s="1" t="str">
        <x:v>Projection</x:v>
      </x:c>
    </x:row>
    <x:row r="181" ht="21" customHeight="1">
      <x:c r="A181" s="1" t="n">
        <x:v>170</x:v>
      </x:c>
      <x:c r="B181" s="6" t="n">
        <x:v>51013</x:v>
      </x:c>
      <x:c r="C181" s="7" t="n">
        <x:f>G180</x:f>
        <x:v>258077.55</x:v>
      </x:c>
      <x:c r="D181" s="7" t="n">
        <x:f>IF(A181=$B$7,ROUND(C181+E181,2),MIN($B$8,ROUND(C181+E181,2)))</x:f>
        <x:v>2742.78</x:v>
      </x:c>
      <x:c r="E181" s="7" t="n">
        <x:f>ROUND(C181*$B$6/12,2)</x:f>
        <x:v>1376.41</x:v>
      </x:c>
      <x:c r="F181" s="7" t="n">
        <x:f>ROUND(D181-E181,2)</x:f>
        <x:v>1366.37</x:v>
      </x:c>
      <x:c r="G181" s="7" t="n">
        <x:f>ROUND(C181-F181,2)</x:f>
        <x:v>256711.18</x:v>
      </x:c>
      <x:c r="H181" s="7" t="n">
        <x:f>ROUND(D181-E181-F181,2)</x:f>
        <x:v>0</x:v>
      </x:c>
      <x:c r="I181" s="1" t="str">
        <x:v>Projection</x:v>
      </x:c>
    </x:row>
    <x:row r="182" ht="21" customHeight="1">
      <x:c r="A182" s="1" t="n">
        <x:v>171</x:v>
      </x:c>
      <x:c r="B182" s="6" t="n">
        <x:v>51043</x:v>
      </x:c>
      <x:c r="C182" s="7" t="n">
        <x:f>G181</x:f>
        <x:v>256711.18</x:v>
      </x:c>
      <x:c r="D182" s="7" t="n">
        <x:f>IF(A182=$B$7,ROUND(C182+E182,2),MIN($B$8,ROUND(C182+E182,2)))</x:f>
        <x:v>2742.78</x:v>
      </x:c>
      <x:c r="E182" s="7" t="n">
        <x:f>ROUND(C182*$B$6/12,2)</x:f>
        <x:v>1369.13</x:v>
      </x:c>
      <x:c r="F182" s="7" t="n">
        <x:f>ROUND(D182-E182,2)</x:f>
        <x:v>1373.65</x:v>
      </x:c>
      <x:c r="G182" s="7" t="n">
        <x:f>ROUND(C182-F182,2)</x:f>
        <x:v>255337.53</x:v>
      </x:c>
      <x:c r="H182" s="7" t="n">
        <x:f>ROUND(D182-E182-F182,2)</x:f>
        <x:v>0</x:v>
      </x:c>
      <x:c r="I182" s="1" t="str">
        <x:v>Projection</x:v>
      </x:c>
    </x:row>
    <x:row r="183" ht="21" customHeight="1">
      <x:c r="A183" s="1" t="n">
        <x:v>172</x:v>
      </x:c>
      <x:c r="B183" s="6" t="n">
        <x:v>51074</x:v>
      </x:c>
      <x:c r="C183" s="7" t="n">
        <x:f>G182</x:f>
        <x:v>255337.53</x:v>
      </x:c>
      <x:c r="D183" s="7" t="n">
        <x:f>IF(A183=$B$7,ROUND(C183+E183,2),MIN($B$8,ROUND(C183+E183,2)))</x:f>
        <x:v>2742.78</x:v>
      </x:c>
      <x:c r="E183" s="7" t="n">
        <x:f>ROUND(C183*$B$6/12,2)</x:f>
        <x:v>1361.8</x:v>
      </x:c>
      <x:c r="F183" s="7" t="n">
        <x:f>ROUND(D183-E183,2)</x:f>
        <x:v>1380.98</x:v>
      </x:c>
      <x:c r="G183" s="7" t="n">
        <x:f>ROUND(C183-F183,2)</x:f>
        <x:v>253956.55</x:v>
      </x:c>
      <x:c r="H183" s="7" t="n">
        <x:f>ROUND(D183-E183-F183,2)</x:f>
        <x:v>0</x:v>
      </x:c>
      <x:c r="I183" s="1" t="str">
        <x:v>Projection</x:v>
      </x:c>
    </x:row>
    <x:row r="184" ht="21" customHeight="1">
      <x:c r="A184" s="1" t="n">
        <x:v>173</x:v>
      </x:c>
      <x:c r="B184" s="6" t="n">
        <x:v>51104</x:v>
      </x:c>
      <x:c r="C184" s="7" t="n">
        <x:f>G183</x:f>
        <x:v>253956.55</x:v>
      </x:c>
      <x:c r="D184" s="7" t="n">
        <x:f>IF(A184=$B$7,ROUND(C184+E184,2),MIN($B$8,ROUND(C184+E184,2)))</x:f>
        <x:v>2742.78</x:v>
      </x:c>
      <x:c r="E184" s="7" t="n">
        <x:f>ROUND(C184*$B$6/12,2)</x:f>
        <x:v>1354.43</x:v>
      </x:c>
      <x:c r="F184" s="7" t="n">
        <x:f>ROUND(D184-E184,2)</x:f>
        <x:v>1388.35</x:v>
      </x:c>
      <x:c r="G184" s="7" t="n">
        <x:f>ROUND(C184-F184,2)</x:f>
        <x:v>252568.2</x:v>
      </x:c>
      <x:c r="H184" s="7" t="n">
        <x:f>ROUND(D184-E184-F184,2)</x:f>
        <x:v>0</x:v>
      </x:c>
      <x:c r="I184" s="1" t="str">
        <x:v>Projection</x:v>
      </x:c>
    </x:row>
    <x:row r="185" ht="21" customHeight="1">
      <x:c r="A185" s="1" t="n">
        <x:v>174</x:v>
      </x:c>
      <x:c r="B185" s="6" t="n">
        <x:v>51135</x:v>
      </x:c>
      <x:c r="C185" s="7" t="n">
        <x:f>G184</x:f>
        <x:v>252568.2</x:v>
      </x:c>
      <x:c r="D185" s="7" t="n">
        <x:f>IF(A185=$B$7,ROUND(C185+E185,2),MIN($B$8,ROUND(C185+E185,2)))</x:f>
        <x:v>2742.78</x:v>
      </x:c>
      <x:c r="E185" s="7" t="n">
        <x:f>ROUND(C185*$B$6/12,2)</x:f>
        <x:v>1347.03</x:v>
      </x:c>
      <x:c r="F185" s="7" t="n">
        <x:f>ROUND(D185-E185,2)</x:f>
        <x:v>1395.75</x:v>
      </x:c>
      <x:c r="G185" s="7" t="n">
        <x:f>ROUND(C185-F185,2)</x:f>
        <x:v>251172.45</x:v>
      </x:c>
      <x:c r="H185" s="7" t="n">
        <x:f>ROUND(D185-E185-F185,2)</x:f>
        <x:v>0</x:v>
      </x:c>
      <x:c r="I185" s="1" t="str">
        <x:v>Projection</x:v>
      </x:c>
    </x:row>
    <x:row r="186" ht="21" customHeight="1">
      <x:c r="A186" s="1" t="n">
        <x:v>175</x:v>
      </x:c>
      <x:c r="B186" s="6" t="n">
        <x:v>51166</x:v>
      </x:c>
      <x:c r="C186" s="7" t="n">
        <x:f>G185</x:f>
        <x:v>251172.45</x:v>
      </x:c>
      <x:c r="D186" s="7" t="n">
        <x:f>IF(A186=$B$7,ROUND(C186+E186,2),MIN($B$8,ROUND(C186+E186,2)))</x:f>
        <x:v>2742.78</x:v>
      </x:c>
      <x:c r="E186" s="7" t="n">
        <x:f>ROUND(C186*$B$6/12,2)</x:f>
        <x:v>1339.59</x:v>
      </x:c>
      <x:c r="F186" s="7" t="n">
        <x:f>ROUND(D186-E186,2)</x:f>
        <x:v>1403.19</x:v>
      </x:c>
      <x:c r="G186" s="7" t="n">
        <x:f>ROUND(C186-F186,2)</x:f>
        <x:v>249769.26</x:v>
      </x:c>
      <x:c r="H186" s="7" t="n">
        <x:f>ROUND(D186-E186-F186,2)</x:f>
        <x:v>0</x:v>
      </x:c>
      <x:c r="I186" s="1" t="str">
        <x:v>Projection</x:v>
      </x:c>
    </x:row>
    <x:row r="187" ht="21" customHeight="1">
      <x:c r="A187" s="1" t="n">
        <x:v>176</x:v>
      </x:c>
      <x:c r="B187" s="6" t="n">
        <x:v>51195</x:v>
      </x:c>
      <x:c r="C187" s="7" t="n">
        <x:f>G186</x:f>
        <x:v>249769.26</x:v>
      </x:c>
      <x:c r="D187" s="7" t="n">
        <x:f>IF(A187=$B$7,ROUND(C187+E187,2),MIN($B$8,ROUND(C187+E187,2)))</x:f>
        <x:v>2742.78</x:v>
      </x:c>
      <x:c r="E187" s="7" t="n">
        <x:f>ROUND(C187*$B$6/12,2)</x:f>
        <x:v>1332.1</x:v>
      </x:c>
      <x:c r="F187" s="7" t="n">
        <x:f>ROUND(D187-E187,2)</x:f>
        <x:v>1410.68</x:v>
      </x:c>
      <x:c r="G187" s="7" t="n">
        <x:f>ROUND(C187-F187,2)</x:f>
        <x:v>248358.58</x:v>
      </x:c>
      <x:c r="H187" s="7" t="n">
        <x:f>ROUND(D187-E187-F187,2)</x:f>
        <x:v>0</x:v>
      </x:c>
      <x:c r="I187" s="1" t="str">
        <x:v>Projection</x:v>
      </x:c>
    </x:row>
    <x:row r="188" ht="21" customHeight="1">
      <x:c r="A188" s="1" t="n">
        <x:v>177</x:v>
      </x:c>
      <x:c r="B188" s="6" t="n">
        <x:v>51226</x:v>
      </x:c>
      <x:c r="C188" s="7" t="n">
        <x:f>G187</x:f>
        <x:v>248358.58</x:v>
      </x:c>
      <x:c r="D188" s="7" t="n">
        <x:f>IF(A188=$B$7,ROUND(C188+E188,2),MIN($B$8,ROUND(C188+E188,2)))</x:f>
        <x:v>2742.78</x:v>
      </x:c>
      <x:c r="E188" s="7" t="n">
        <x:f>ROUND(C188*$B$6/12,2)</x:f>
        <x:v>1324.58</x:v>
      </x:c>
      <x:c r="F188" s="7" t="n">
        <x:f>ROUND(D188-E188,2)</x:f>
        <x:v>1418.2</x:v>
      </x:c>
      <x:c r="G188" s="7" t="n">
        <x:f>ROUND(C188-F188,2)</x:f>
        <x:v>246940.38</x:v>
      </x:c>
      <x:c r="H188" s="7" t="n">
        <x:f>ROUND(D188-E188-F188,2)</x:f>
        <x:v>0</x:v>
      </x:c>
      <x:c r="I188" s="1" t="str">
        <x:v>Projection</x:v>
      </x:c>
    </x:row>
    <x:row r="189" ht="21" customHeight="1">
      <x:c r="A189" s="1" t="n">
        <x:v>178</x:v>
      </x:c>
      <x:c r="B189" s="6" t="n">
        <x:v>51256</x:v>
      </x:c>
      <x:c r="C189" s="7" t="n">
        <x:f>G188</x:f>
        <x:v>246940.38</x:v>
      </x:c>
      <x:c r="D189" s="7" t="n">
        <x:f>IF(A189=$B$7,ROUND(C189+E189,2),MIN($B$8,ROUND(C189+E189,2)))</x:f>
        <x:v>2742.78</x:v>
      </x:c>
      <x:c r="E189" s="7" t="n">
        <x:f>ROUND(C189*$B$6/12,2)</x:f>
        <x:v>1317.02</x:v>
      </x:c>
      <x:c r="F189" s="7" t="n">
        <x:f>ROUND(D189-E189,2)</x:f>
        <x:v>1425.76</x:v>
      </x:c>
      <x:c r="G189" s="7" t="n">
        <x:f>ROUND(C189-F189,2)</x:f>
        <x:v>245514.62</x:v>
      </x:c>
      <x:c r="H189" s="7" t="n">
        <x:f>ROUND(D189-E189-F189,2)</x:f>
        <x:v>0</x:v>
      </x:c>
      <x:c r="I189" s="1" t="str">
        <x:v>Projection</x:v>
      </x:c>
    </x:row>
    <x:row r="190" ht="21" customHeight="1">
      <x:c r="A190" s="1" t="n">
        <x:v>179</x:v>
      </x:c>
      <x:c r="B190" s="6" t="n">
        <x:v>51287</x:v>
      </x:c>
      <x:c r="C190" s="7" t="n">
        <x:f>G189</x:f>
        <x:v>245514.62</x:v>
      </x:c>
      <x:c r="D190" s="7" t="n">
        <x:f>IF(A190=$B$7,ROUND(C190+E190,2),MIN($B$8,ROUND(C190+E190,2)))</x:f>
        <x:v>2742.78</x:v>
      </x:c>
      <x:c r="E190" s="7" t="n">
        <x:f>ROUND(C190*$B$6/12,2)</x:f>
        <x:v>1309.41</x:v>
      </x:c>
      <x:c r="F190" s="7" t="n">
        <x:f>ROUND(D190-E190,2)</x:f>
        <x:v>1433.37</x:v>
      </x:c>
      <x:c r="G190" s="7" t="n">
        <x:f>ROUND(C190-F190,2)</x:f>
        <x:v>244081.25</x:v>
      </x:c>
      <x:c r="H190" s="7" t="n">
        <x:f>ROUND(D190-E190-F190,2)</x:f>
        <x:v>0</x:v>
      </x:c>
      <x:c r="I190" s="1" t="str">
        <x:v>Projection</x:v>
      </x:c>
    </x:row>
    <x:row r="191" ht="21" customHeight="1">
      <x:c r="A191" s="1" t="n">
        <x:v>180</x:v>
      </x:c>
      <x:c r="B191" s="6" t="n">
        <x:v>51317</x:v>
      </x:c>
      <x:c r="C191" s="7" t="n">
        <x:f>G190</x:f>
        <x:v>244081.25</x:v>
      </x:c>
      <x:c r="D191" s="7" t="n">
        <x:f>IF(A191=$B$7,ROUND(C191+E191,2),MIN($B$8,ROUND(C191+E191,2)))</x:f>
        <x:v>2742.78</x:v>
      </x:c>
      <x:c r="E191" s="7" t="n">
        <x:f>ROUND(C191*$B$6/12,2)</x:f>
        <x:v>1301.77</x:v>
      </x:c>
      <x:c r="F191" s="7" t="n">
        <x:f>ROUND(D191-E191,2)</x:f>
        <x:v>1441.01</x:v>
      </x:c>
      <x:c r="G191" s="7" t="n">
        <x:f>ROUND(C191-F191,2)</x:f>
        <x:v>242640.24</x:v>
      </x:c>
      <x:c r="H191" s="7" t="n">
        <x:f>ROUND(D191-E191-F191,2)</x:f>
        <x:v>0</x:v>
      </x:c>
      <x:c r="I191" s="1" t="str">
        <x:v>Projection</x:v>
      </x:c>
    </x:row>
    <x:row r="192" ht="21" customHeight="1">
      <x:c r="A192" s="1" t="n">
        <x:v>181</x:v>
      </x:c>
      <x:c r="B192" s="6" t="n">
        <x:v>51348</x:v>
      </x:c>
      <x:c r="C192" s="7" t="n">
        <x:f>G191</x:f>
        <x:v>242640.24</x:v>
      </x:c>
      <x:c r="D192" s="7" t="n">
        <x:f>IF(A192=$B$7,ROUND(C192+E192,2),MIN($B$8,ROUND(C192+E192,2)))</x:f>
        <x:v>2742.78</x:v>
      </x:c>
      <x:c r="E192" s="7" t="n">
        <x:f>ROUND(C192*$B$6/12,2)</x:f>
        <x:v>1294.08</x:v>
      </x:c>
      <x:c r="F192" s="7" t="n">
        <x:f>ROUND(D192-E192,2)</x:f>
        <x:v>1448.7</x:v>
      </x:c>
      <x:c r="G192" s="7" t="n">
        <x:f>ROUND(C192-F192,2)</x:f>
        <x:v>241191.54</x:v>
      </x:c>
      <x:c r="H192" s="7" t="n">
        <x:f>ROUND(D192-E192-F192,2)</x:f>
        <x:v>0</x:v>
      </x:c>
      <x:c r="I192" s="1" t="str">
        <x:v>Projection</x:v>
      </x:c>
    </x:row>
    <x:row r="193" ht="21" customHeight="1">
      <x:c r="A193" s="1" t="n">
        <x:v>182</x:v>
      </x:c>
      <x:c r="B193" s="6" t="n">
        <x:v>51379</x:v>
      </x:c>
      <x:c r="C193" s="7" t="n">
        <x:f>G192</x:f>
        <x:v>241191.54</x:v>
      </x:c>
      <x:c r="D193" s="7" t="n">
        <x:f>IF(A193=$B$7,ROUND(C193+E193,2),MIN($B$8,ROUND(C193+E193,2)))</x:f>
        <x:v>2742.78</x:v>
      </x:c>
      <x:c r="E193" s="7" t="n">
        <x:f>ROUND(C193*$B$6/12,2)</x:f>
        <x:v>1286.35</x:v>
      </x:c>
      <x:c r="F193" s="7" t="n">
        <x:f>ROUND(D193-E193,2)</x:f>
        <x:v>1456.43</x:v>
      </x:c>
      <x:c r="G193" s="7" t="n">
        <x:f>ROUND(C193-F193,2)</x:f>
        <x:v>239735.11</x:v>
      </x:c>
      <x:c r="H193" s="7" t="n">
        <x:f>ROUND(D193-E193-F193,2)</x:f>
        <x:v>0</x:v>
      </x:c>
      <x:c r="I193" s="1" t="str">
        <x:v>Projection</x:v>
      </x:c>
    </x:row>
    <x:row r="194" ht="21" customHeight="1">
      <x:c r="A194" s="1" t="n">
        <x:v>183</x:v>
      </x:c>
      <x:c r="B194" s="6" t="n">
        <x:v>51409</x:v>
      </x:c>
      <x:c r="C194" s="7" t="n">
        <x:f>G193</x:f>
        <x:v>239735.11</x:v>
      </x:c>
      <x:c r="D194" s="7" t="n">
        <x:f>IF(A194=$B$7,ROUND(C194+E194,2),MIN($B$8,ROUND(C194+E194,2)))</x:f>
        <x:v>2742.78</x:v>
      </x:c>
      <x:c r="E194" s="7" t="n">
        <x:f>ROUND(C194*$B$6/12,2)</x:f>
        <x:v>1278.59</x:v>
      </x:c>
      <x:c r="F194" s="7" t="n">
        <x:f>ROUND(D194-E194,2)</x:f>
        <x:v>1464.19</x:v>
      </x:c>
      <x:c r="G194" s="7" t="n">
        <x:f>ROUND(C194-F194,2)</x:f>
        <x:v>238270.92</x:v>
      </x:c>
      <x:c r="H194" s="7" t="n">
        <x:f>ROUND(D194-E194-F194,2)</x:f>
        <x:v>0</x:v>
      </x:c>
      <x:c r="I194" s="1" t="str">
        <x:v>Projection</x:v>
      </x:c>
    </x:row>
    <x:row r="195" ht="21" customHeight="1">
      <x:c r="A195" s="1" t="n">
        <x:v>184</x:v>
      </x:c>
      <x:c r="B195" s="6" t="n">
        <x:v>51440</x:v>
      </x:c>
      <x:c r="C195" s="7" t="n">
        <x:f>G194</x:f>
        <x:v>238270.92</x:v>
      </x:c>
      <x:c r="D195" s="7" t="n">
        <x:f>IF(A195=$B$7,ROUND(C195+E195,2),MIN($B$8,ROUND(C195+E195,2)))</x:f>
        <x:v>2742.78</x:v>
      </x:c>
      <x:c r="E195" s="7" t="n">
        <x:f>ROUND(C195*$B$6/12,2)</x:f>
        <x:v>1270.78</x:v>
      </x:c>
      <x:c r="F195" s="7" t="n">
        <x:f>ROUND(D195-E195,2)</x:f>
        <x:v>1472</x:v>
      </x:c>
      <x:c r="G195" s="7" t="n">
        <x:f>ROUND(C195-F195,2)</x:f>
        <x:v>236798.92</x:v>
      </x:c>
      <x:c r="H195" s="7" t="n">
        <x:f>ROUND(D195-E195-F195,2)</x:f>
        <x:v>0</x:v>
      </x:c>
      <x:c r="I195" s="1" t="str">
        <x:v>Projection</x:v>
      </x:c>
    </x:row>
    <x:row r="196" ht="21" customHeight="1">
      <x:c r="A196" s="1" t="n">
        <x:v>185</x:v>
      </x:c>
      <x:c r="B196" s="6" t="n">
        <x:v>51470</x:v>
      </x:c>
      <x:c r="C196" s="7" t="n">
        <x:f>G195</x:f>
        <x:v>236798.92</x:v>
      </x:c>
      <x:c r="D196" s="7" t="n">
        <x:f>IF(A196=$B$7,ROUND(C196+E196,2),MIN($B$8,ROUND(C196+E196,2)))</x:f>
        <x:v>2742.78</x:v>
      </x:c>
      <x:c r="E196" s="7" t="n">
        <x:f>ROUND(C196*$B$6/12,2)</x:f>
        <x:v>1262.93</x:v>
      </x:c>
      <x:c r="F196" s="7" t="n">
        <x:f>ROUND(D196-E196,2)</x:f>
        <x:v>1479.85</x:v>
      </x:c>
      <x:c r="G196" s="7" t="n">
        <x:f>ROUND(C196-F196,2)</x:f>
        <x:v>235319.07</x:v>
      </x:c>
      <x:c r="H196" s="7" t="n">
        <x:f>ROUND(D196-E196-F196,2)</x:f>
        <x:v>0</x:v>
      </x:c>
      <x:c r="I196" s="1" t="str">
        <x:v>Projection</x:v>
      </x:c>
    </x:row>
    <x:row r="197" ht="21" customHeight="1">
      <x:c r="A197" s="1" t="n">
        <x:v>186</x:v>
      </x:c>
      <x:c r="B197" s="6" t="n">
        <x:v>51501</x:v>
      </x:c>
      <x:c r="C197" s="7" t="n">
        <x:f>G196</x:f>
        <x:v>235319.07</x:v>
      </x:c>
      <x:c r="D197" s="7" t="n">
        <x:f>IF(A197=$B$7,ROUND(C197+E197,2),MIN($B$8,ROUND(C197+E197,2)))</x:f>
        <x:v>2742.78</x:v>
      </x:c>
      <x:c r="E197" s="7" t="n">
        <x:f>ROUND(C197*$B$6/12,2)</x:f>
        <x:v>1255.04</x:v>
      </x:c>
      <x:c r="F197" s="7" t="n">
        <x:f>ROUND(D197-E197,2)</x:f>
        <x:v>1487.74</x:v>
      </x:c>
      <x:c r="G197" s="7" t="n">
        <x:f>ROUND(C197-F197,2)</x:f>
        <x:v>233831.33</x:v>
      </x:c>
      <x:c r="H197" s="7" t="n">
        <x:f>ROUND(D197-E197-F197,2)</x:f>
        <x:v>0</x:v>
      </x:c>
      <x:c r="I197" s="1" t="str">
        <x:v>Projection</x:v>
      </x:c>
    </x:row>
    <x:row r="198" ht="21" customHeight="1">
      <x:c r="A198" s="1" t="n">
        <x:v>187</x:v>
      </x:c>
      <x:c r="B198" s="6" t="n">
        <x:v>51532</x:v>
      </x:c>
      <x:c r="C198" s="7" t="n">
        <x:f>G197</x:f>
        <x:v>233831.33</x:v>
      </x:c>
      <x:c r="D198" s="7" t="n">
        <x:f>IF(A198=$B$7,ROUND(C198+E198,2),MIN($B$8,ROUND(C198+E198,2)))</x:f>
        <x:v>2742.78</x:v>
      </x:c>
      <x:c r="E198" s="7" t="n">
        <x:f>ROUND(C198*$B$6/12,2)</x:f>
        <x:v>1247.1</x:v>
      </x:c>
      <x:c r="F198" s="7" t="n">
        <x:f>ROUND(D198-E198,2)</x:f>
        <x:v>1495.68</x:v>
      </x:c>
      <x:c r="G198" s="7" t="n">
        <x:f>ROUND(C198-F198,2)</x:f>
        <x:v>232335.65</x:v>
      </x:c>
      <x:c r="H198" s="7" t="n">
        <x:f>ROUND(D198-E198-F198,2)</x:f>
        <x:v>0</x:v>
      </x:c>
      <x:c r="I198" s="1" t="str">
        <x:v>Projection</x:v>
      </x:c>
    </x:row>
    <x:row r="199" ht="21" customHeight="1">
      <x:c r="A199" s="1" t="n">
        <x:v>188</x:v>
      </x:c>
      <x:c r="B199" s="6" t="n">
        <x:v>51560</x:v>
      </x:c>
      <x:c r="C199" s="7" t="n">
        <x:f>G198</x:f>
        <x:v>232335.65</x:v>
      </x:c>
      <x:c r="D199" s="7" t="n">
        <x:f>IF(A199=$B$7,ROUND(C199+E199,2),MIN($B$8,ROUND(C199+E199,2)))</x:f>
        <x:v>2742.78</x:v>
      </x:c>
      <x:c r="E199" s="7" t="n">
        <x:f>ROUND(C199*$B$6/12,2)</x:f>
        <x:v>1239.12</x:v>
      </x:c>
      <x:c r="F199" s="7" t="n">
        <x:f>ROUND(D199-E199,2)</x:f>
        <x:v>1503.66</x:v>
      </x:c>
      <x:c r="G199" s="7" t="n">
        <x:f>ROUND(C199-F199,2)</x:f>
        <x:v>230831.99</x:v>
      </x:c>
      <x:c r="H199" s="7" t="n">
        <x:f>ROUND(D199-E199-F199,2)</x:f>
        <x:v>0</x:v>
      </x:c>
      <x:c r="I199" s="1" t="str">
        <x:v>Projection</x:v>
      </x:c>
    </x:row>
    <x:row r="200" ht="21" customHeight="1">
      <x:c r="A200" s="1" t="n">
        <x:v>189</x:v>
      </x:c>
      <x:c r="B200" s="6" t="n">
        <x:v>51591</x:v>
      </x:c>
      <x:c r="C200" s="7" t="n">
        <x:f>G199</x:f>
        <x:v>230831.99</x:v>
      </x:c>
      <x:c r="D200" s="7" t="n">
        <x:f>IF(A200=$B$7,ROUND(C200+E200,2),MIN($B$8,ROUND(C200+E200,2)))</x:f>
        <x:v>2742.78</x:v>
      </x:c>
      <x:c r="E200" s="7" t="n">
        <x:f>ROUND(C200*$B$6/12,2)</x:f>
        <x:v>1231.1</x:v>
      </x:c>
      <x:c r="F200" s="7" t="n">
        <x:f>ROUND(D200-E200,2)</x:f>
        <x:v>1511.68</x:v>
      </x:c>
      <x:c r="G200" s="7" t="n">
        <x:f>ROUND(C200-F200,2)</x:f>
        <x:v>229320.31</x:v>
      </x:c>
      <x:c r="H200" s="7" t="n">
        <x:f>ROUND(D200-E200-F200,2)</x:f>
        <x:v>0</x:v>
      </x:c>
      <x:c r="I200" s="1" t="str">
        <x:v>Projection</x:v>
      </x:c>
    </x:row>
    <x:row r="201" ht="21" customHeight="1">
      <x:c r="A201" s="1" t="n">
        <x:v>190</x:v>
      </x:c>
      <x:c r="B201" s="6" t="n">
        <x:v>51621</x:v>
      </x:c>
      <x:c r="C201" s="7" t="n">
        <x:f>G200</x:f>
        <x:v>229320.31</x:v>
      </x:c>
      <x:c r="D201" s="7" t="n">
        <x:f>IF(A201=$B$7,ROUND(C201+E201,2),MIN($B$8,ROUND(C201+E201,2)))</x:f>
        <x:v>2742.78</x:v>
      </x:c>
      <x:c r="E201" s="7" t="n">
        <x:f>ROUND(C201*$B$6/12,2)</x:f>
        <x:v>1223.04</x:v>
      </x:c>
      <x:c r="F201" s="7" t="n">
        <x:f>ROUND(D201-E201,2)</x:f>
        <x:v>1519.74</x:v>
      </x:c>
      <x:c r="G201" s="7" t="n">
        <x:f>ROUND(C201-F201,2)</x:f>
        <x:v>227800.57</x:v>
      </x:c>
      <x:c r="H201" s="7" t="n">
        <x:f>ROUND(D201-E201-F201,2)</x:f>
        <x:v>0</x:v>
      </x:c>
      <x:c r="I201" s="1" t="str">
        <x:v>Projection</x:v>
      </x:c>
    </x:row>
    <x:row r="202" ht="21" customHeight="1">
      <x:c r="A202" s="1" t="n">
        <x:v>191</x:v>
      </x:c>
      <x:c r="B202" s="6" t="n">
        <x:v>51652</x:v>
      </x:c>
      <x:c r="C202" s="7" t="n">
        <x:f>G201</x:f>
        <x:v>227800.57</x:v>
      </x:c>
      <x:c r="D202" s="7" t="n">
        <x:f>IF(A202=$B$7,ROUND(C202+E202,2),MIN($B$8,ROUND(C202+E202,2)))</x:f>
        <x:v>2742.78</x:v>
      </x:c>
      <x:c r="E202" s="7" t="n">
        <x:f>ROUND(C202*$B$6/12,2)</x:f>
        <x:v>1214.94</x:v>
      </x:c>
      <x:c r="F202" s="7" t="n">
        <x:f>ROUND(D202-E202,2)</x:f>
        <x:v>1527.84</x:v>
      </x:c>
      <x:c r="G202" s="7" t="n">
        <x:f>ROUND(C202-F202,2)</x:f>
        <x:v>226272.73</x:v>
      </x:c>
      <x:c r="H202" s="7" t="n">
        <x:f>ROUND(D202-E202-F202,2)</x:f>
        <x:v>0</x:v>
      </x:c>
      <x:c r="I202" s="1" t="str">
        <x:v>Projection</x:v>
      </x:c>
    </x:row>
    <x:row r="203" ht="21" customHeight="1">
      <x:c r="A203" s="1" t="n">
        <x:v>192</x:v>
      </x:c>
      <x:c r="B203" s="6" t="n">
        <x:v>51682</x:v>
      </x:c>
      <x:c r="C203" s="7" t="n">
        <x:f>G202</x:f>
        <x:v>226272.73</x:v>
      </x:c>
      <x:c r="D203" s="7" t="n">
        <x:f>IF(A203=$B$7,ROUND(C203+E203,2),MIN($B$8,ROUND(C203+E203,2)))</x:f>
        <x:v>2742.78</x:v>
      </x:c>
      <x:c r="E203" s="7" t="n">
        <x:f>ROUND(C203*$B$6/12,2)</x:f>
        <x:v>1206.79</x:v>
      </x:c>
      <x:c r="F203" s="7" t="n">
        <x:f>ROUND(D203-E203,2)</x:f>
        <x:v>1535.99</x:v>
      </x:c>
      <x:c r="G203" s="7" t="n">
        <x:f>ROUND(C203-F203,2)</x:f>
        <x:v>224736.74</x:v>
      </x:c>
      <x:c r="H203" s="7" t="n">
        <x:f>ROUND(D203-E203-F203,2)</x:f>
        <x:v>0</x:v>
      </x:c>
      <x:c r="I203" s="1" t="str">
        <x:v>Projection</x:v>
      </x:c>
    </x:row>
    <x:row r="204" ht="21" customHeight="1">
      <x:c r="A204" s="1" t="n">
        <x:v>193</x:v>
      </x:c>
      <x:c r="B204" s="6" t="n">
        <x:v>51713</x:v>
      </x:c>
      <x:c r="C204" s="7" t="n">
        <x:f>G203</x:f>
        <x:v>224736.74</x:v>
      </x:c>
      <x:c r="D204" s="7" t="n">
        <x:f>IF(A204=$B$7,ROUND(C204+E204,2),MIN($B$8,ROUND(C204+E204,2)))</x:f>
        <x:v>2742.78</x:v>
      </x:c>
      <x:c r="E204" s="7" t="n">
        <x:f>ROUND(C204*$B$6/12,2)</x:f>
        <x:v>1198.6</x:v>
      </x:c>
      <x:c r="F204" s="7" t="n">
        <x:f>ROUND(D204-E204,2)</x:f>
        <x:v>1544.18</x:v>
      </x:c>
      <x:c r="G204" s="7" t="n">
        <x:f>ROUND(C204-F204,2)</x:f>
        <x:v>223192.56</x:v>
      </x:c>
      <x:c r="H204" s="7" t="n">
        <x:f>ROUND(D204-E204-F204,2)</x:f>
        <x:v>0</x:v>
      </x:c>
      <x:c r="I204" s="1" t="str">
        <x:v>Projection</x:v>
      </x:c>
    </x:row>
    <x:row r="205" ht="21" customHeight="1">
      <x:c r="A205" s="1" t="n">
        <x:v>194</x:v>
      </x:c>
      <x:c r="B205" s="6" t="n">
        <x:v>51744</x:v>
      </x:c>
      <x:c r="C205" s="7" t="n">
        <x:f>G204</x:f>
        <x:v>223192.56</x:v>
      </x:c>
      <x:c r="D205" s="7" t="n">
        <x:f>IF(A205=$B$7,ROUND(C205+E205,2),MIN($B$8,ROUND(C205+E205,2)))</x:f>
        <x:v>2742.78</x:v>
      </x:c>
      <x:c r="E205" s="7" t="n">
        <x:f>ROUND(C205*$B$6/12,2)</x:f>
        <x:v>1190.36</x:v>
      </x:c>
      <x:c r="F205" s="7" t="n">
        <x:f>ROUND(D205-E205,2)</x:f>
        <x:v>1552.42</x:v>
      </x:c>
      <x:c r="G205" s="7" t="n">
        <x:f>ROUND(C205-F205,2)</x:f>
        <x:v>221640.14</x:v>
      </x:c>
      <x:c r="H205" s="7" t="n">
        <x:f>ROUND(D205-E205-F205,2)</x:f>
        <x:v>0</x:v>
      </x:c>
      <x:c r="I205" s="1" t="str">
        <x:v>Projection</x:v>
      </x:c>
    </x:row>
    <x:row r="206" ht="21" customHeight="1">
      <x:c r="A206" s="1" t="n">
        <x:v>195</x:v>
      </x:c>
      <x:c r="B206" s="6" t="n">
        <x:v>51774</x:v>
      </x:c>
      <x:c r="C206" s="7" t="n">
        <x:f>G205</x:f>
        <x:v>221640.14</x:v>
      </x:c>
      <x:c r="D206" s="7" t="n">
        <x:f>IF(A206=$B$7,ROUND(C206+E206,2),MIN($B$8,ROUND(C206+E206,2)))</x:f>
        <x:v>2742.78</x:v>
      </x:c>
      <x:c r="E206" s="7" t="n">
        <x:f>ROUND(C206*$B$6/12,2)</x:f>
        <x:v>1182.08</x:v>
      </x:c>
      <x:c r="F206" s="7" t="n">
        <x:f>ROUND(D206-E206,2)</x:f>
        <x:v>1560.7</x:v>
      </x:c>
      <x:c r="G206" s="7" t="n">
        <x:f>ROUND(C206-F206,2)</x:f>
        <x:v>220079.44</x:v>
      </x:c>
      <x:c r="H206" s="7" t="n">
        <x:f>ROUND(D206-E206-F206,2)</x:f>
        <x:v>0</x:v>
      </x:c>
      <x:c r="I206" s="1" t="str">
        <x:v>Projection</x:v>
      </x:c>
    </x:row>
    <x:row r="207" ht="21" customHeight="1">
      <x:c r="A207" s="1" t="n">
        <x:v>196</x:v>
      </x:c>
      <x:c r="B207" s="6" t="n">
        <x:v>51805</x:v>
      </x:c>
      <x:c r="C207" s="7" t="n">
        <x:f>G206</x:f>
        <x:v>220079.44</x:v>
      </x:c>
      <x:c r="D207" s="7" t="n">
        <x:f>IF(A207=$B$7,ROUND(C207+E207,2),MIN($B$8,ROUND(C207+E207,2)))</x:f>
        <x:v>2742.78</x:v>
      </x:c>
      <x:c r="E207" s="7" t="n">
        <x:f>ROUND(C207*$B$6/12,2)</x:f>
        <x:v>1173.76</x:v>
      </x:c>
      <x:c r="F207" s="7" t="n">
        <x:f>ROUND(D207-E207,2)</x:f>
        <x:v>1569.02</x:v>
      </x:c>
      <x:c r="G207" s="7" t="n">
        <x:f>ROUND(C207-F207,2)</x:f>
        <x:v>218510.42</x:v>
      </x:c>
      <x:c r="H207" s="7" t="n">
        <x:f>ROUND(D207-E207-F207,2)</x:f>
        <x:v>0</x:v>
      </x:c>
      <x:c r="I207" s="1" t="str">
        <x:v>Projection</x:v>
      </x:c>
    </x:row>
    <x:row r="208" ht="21" customHeight="1">
      <x:c r="A208" s="1" t="n">
        <x:v>197</x:v>
      </x:c>
      <x:c r="B208" s="6" t="n">
        <x:v>51835</x:v>
      </x:c>
      <x:c r="C208" s="7" t="n">
        <x:f>G207</x:f>
        <x:v>218510.42</x:v>
      </x:c>
      <x:c r="D208" s="7" t="n">
        <x:f>IF(A208=$B$7,ROUND(C208+E208,2),MIN($B$8,ROUND(C208+E208,2)))</x:f>
        <x:v>2742.78</x:v>
      </x:c>
      <x:c r="E208" s="7" t="n">
        <x:f>ROUND(C208*$B$6/12,2)</x:f>
        <x:v>1165.39</x:v>
      </x:c>
      <x:c r="F208" s="7" t="n">
        <x:f>ROUND(D208-E208,2)</x:f>
        <x:v>1577.39</x:v>
      </x:c>
      <x:c r="G208" s="7" t="n">
        <x:f>ROUND(C208-F208,2)</x:f>
        <x:v>216933.03</x:v>
      </x:c>
      <x:c r="H208" s="7" t="n">
        <x:f>ROUND(D208-E208-F208,2)</x:f>
        <x:v>0</x:v>
      </x:c>
      <x:c r="I208" s="1" t="str">
        <x:v>Projection</x:v>
      </x:c>
    </x:row>
    <x:row r="209" ht="21" customHeight="1">
      <x:c r="A209" s="1" t="n">
        <x:v>198</x:v>
      </x:c>
      <x:c r="B209" s="6" t="n">
        <x:v>51866</x:v>
      </x:c>
      <x:c r="C209" s="7" t="n">
        <x:f>G208</x:f>
        <x:v>216933.03</x:v>
      </x:c>
      <x:c r="D209" s="7" t="n">
        <x:f>IF(A209=$B$7,ROUND(C209+E209,2),MIN($B$8,ROUND(C209+E209,2)))</x:f>
        <x:v>2742.78</x:v>
      </x:c>
      <x:c r="E209" s="7" t="n">
        <x:f>ROUND(C209*$B$6/12,2)</x:f>
        <x:v>1156.98</x:v>
      </x:c>
      <x:c r="F209" s="7" t="n">
        <x:f>ROUND(D209-E209,2)</x:f>
        <x:v>1585.8</x:v>
      </x:c>
      <x:c r="G209" s="7" t="n">
        <x:f>ROUND(C209-F209,2)</x:f>
        <x:v>215347.23</x:v>
      </x:c>
      <x:c r="H209" s="7" t="n">
        <x:f>ROUND(D209-E209-F209,2)</x:f>
        <x:v>0</x:v>
      </x:c>
      <x:c r="I209" s="1" t="str">
        <x:v>Projection</x:v>
      </x:c>
    </x:row>
    <x:row r="210" ht="21" customHeight="1">
      <x:c r="A210" s="1" t="n">
        <x:v>199</x:v>
      </x:c>
      <x:c r="B210" s="6" t="n">
        <x:v>51897</x:v>
      </x:c>
      <x:c r="C210" s="7" t="n">
        <x:f>G209</x:f>
        <x:v>215347.23</x:v>
      </x:c>
      <x:c r="D210" s="7" t="n">
        <x:f>IF(A210=$B$7,ROUND(C210+E210,2),MIN($B$8,ROUND(C210+E210,2)))</x:f>
        <x:v>2742.78</x:v>
      </x:c>
      <x:c r="E210" s="7" t="n">
        <x:f>ROUND(C210*$B$6/12,2)</x:f>
        <x:v>1148.52</x:v>
      </x:c>
      <x:c r="F210" s="7" t="n">
        <x:f>ROUND(D210-E210,2)</x:f>
        <x:v>1594.26</x:v>
      </x:c>
      <x:c r="G210" s="7" t="n">
        <x:f>ROUND(C210-F210,2)</x:f>
        <x:v>213752.97</x:v>
      </x:c>
      <x:c r="H210" s="7" t="n">
        <x:f>ROUND(D210-E210-F210,2)</x:f>
        <x:v>0</x:v>
      </x:c>
      <x:c r="I210" s="1" t="str">
        <x:v>Projection</x:v>
      </x:c>
    </x:row>
    <x:row r="211" ht="21" customHeight="1">
      <x:c r="A211" s="1" t="n">
        <x:v>200</x:v>
      </x:c>
      <x:c r="B211" s="6" t="n">
        <x:v>51925</x:v>
      </x:c>
      <x:c r="C211" s="7" t="n">
        <x:f>G210</x:f>
        <x:v>213752.97</x:v>
      </x:c>
      <x:c r="D211" s="7" t="n">
        <x:f>IF(A211=$B$7,ROUND(C211+E211,2),MIN($B$8,ROUND(C211+E211,2)))</x:f>
        <x:v>2742.78</x:v>
      </x:c>
      <x:c r="E211" s="7" t="n">
        <x:f>ROUND(C211*$B$6/12,2)</x:f>
        <x:v>1140.02</x:v>
      </x:c>
      <x:c r="F211" s="7" t="n">
        <x:f>ROUND(D211-E211,2)</x:f>
        <x:v>1602.76</x:v>
      </x:c>
      <x:c r="G211" s="7" t="n">
        <x:f>ROUND(C211-F211,2)</x:f>
        <x:v>212150.21</x:v>
      </x:c>
      <x:c r="H211" s="7" t="n">
        <x:f>ROUND(D211-E211-F211,2)</x:f>
        <x:v>0</x:v>
      </x:c>
      <x:c r="I211" s="1" t="str">
        <x:v>Projection</x:v>
      </x:c>
    </x:row>
    <x:row r="212" ht="21" customHeight="1">
      <x:c r="A212" s="1" t="n">
        <x:v>201</x:v>
      </x:c>
      <x:c r="B212" s="6" t="n">
        <x:v>51956</x:v>
      </x:c>
      <x:c r="C212" s="7" t="n">
        <x:f>G211</x:f>
        <x:v>212150.21</x:v>
      </x:c>
      <x:c r="D212" s="7" t="n">
        <x:f>IF(A212=$B$7,ROUND(C212+E212,2),MIN($B$8,ROUND(C212+E212,2)))</x:f>
        <x:v>2742.78</x:v>
      </x:c>
      <x:c r="E212" s="7" t="n">
        <x:f>ROUND(C212*$B$6/12,2)</x:f>
        <x:v>1131.47</x:v>
      </x:c>
      <x:c r="F212" s="7" t="n">
        <x:f>ROUND(D212-E212,2)</x:f>
        <x:v>1611.31</x:v>
      </x:c>
      <x:c r="G212" s="7" t="n">
        <x:f>ROUND(C212-F212,2)</x:f>
        <x:v>210538.9</x:v>
      </x:c>
      <x:c r="H212" s="7" t="n">
        <x:f>ROUND(D212-E212-F212,2)</x:f>
        <x:v>0</x:v>
      </x:c>
      <x:c r="I212" s="1" t="str">
        <x:v>Projection</x:v>
      </x:c>
    </x:row>
    <x:row r="213" ht="21" customHeight="1">
      <x:c r="A213" s="1" t="n">
        <x:v>202</x:v>
      </x:c>
      <x:c r="B213" s="6" t="n">
        <x:v>51986</x:v>
      </x:c>
      <x:c r="C213" s="7" t="n">
        <x:f>G212</x:f>
        <x:v>210538.9</x:v>
      </x:c>
      <x:c r="D213" s="7" t="n">
        <x:f>IF(A213=$B$7,ROUND(C213+E213,2),MIN($B$8,ROUND(C213+E213,2)))</x:f>
        <x:v>2742.78</x:v>
      </x:c>
      <x:c r="E213" s="7" t="n">
        <x:f>ROUND(C213*$B$6/12,2)</x:f>
        <x:v>1122.87</x:v>
      </x:c>
      <x:c r="F213" s="7" t="n">
        <x:f>ROUND(D213-E213,2)</x:f>
        <x:v>1619.91</x:v>
      </x:c>
      <x:c r="G213" s="7" t="n">
        <x:f>ROUND(C213-F213,2)</x:f>
        <x:v>208918.99</x:v>
      </x:c>
      <x:c r="H213" s="7" t="n">
        <x:f>ROUND(D213-E213-F213,2)</x:f>
        <x:v>0</x:v>
      </x:c>
      <x:c r="I213" s="1" t="str">
        <x:v>Projection</x:v>
      </x:c>
    </x:row>
    <x:row r="214" ht="21" customHeight="1">
      <x:c r="A214" s="1" t="n">
        <x:v>203</x:v>
      </x:c>
      <x:c r="B214" s="6" t="n">
        <x:v>52017</x:v>
      </x:c>
      <x:c r="C214" s="7" t="n">
        <x:f>G213</x:f>
        <x:v>208918.99</x:v>
      </x:c>
      <x:c r="D214" s="7" t="n">
        <x:f>IF(A214=$B$7,ROUND(C214+E214,2),MIN($B$8,ROUND(C214+E214,2)))</x:f>
        <x:v>2742.78</x:v>
      </x:c>
      <x:c r="E214" s="7" t="n">
        <x:f>ROUND(C214*$B$6/12,2)</x:f>
        <x:v>1114.23</x:v>
      </x:c>
      <x:c r="F214" s="7" t="n">
        <x:f>ROUND(D214-E214,2)</x:f>
        <x:v>1628.55</x:v>
      </x:c>
      <x:c r="G214" s="7" t="n">
        <x:f>ROUND(C214-F214,2)</x:f>
        <x:v>207290.44</x:v>
      </x:c>
      <x:c r="H214" s="7" t="n">
        <x:f>ROUND(D214-E214-F214,2)</x:f>
        <x:v>0</x:v>
      </x:c>
      <x:c r="I214" s="1" t="str">
        <x:v>Projection</x:v>
      </x:c>
    </x:row>
    <x:row r="215" ht="21" customHeight="1">
      <x:c r="A215" s="1" t="n">
        <x:v>204</x:v>
      </x:c>
      <x:c r="B215" s="6" t="n">
        <x:v>52047</x:v>
      </x:c>
      <x:c r="C215" s="7" t="n">
        <x:f>G214</x:f>
        <x:v>207290.44</x:v>
      </x:c>
      <x:c r="D215" s="7" t="n">
        <x:f>IF(A215=$B$7,ROUND(C215+E215,2),MIN($B$8,ROUND(C215+E215,2)))</x:f>
        <x:v>2742.78</x:v>
      </x:c>
      <x:c r="E215" s="7" t="n">
        <x:f>ROUND(C215*$B$6/12,2)</x:f>
        <x:v>1105.55</x:v>
      </x:c>
      <x:c r="F215" s="7" t="n">
        <x:f>ROUND(D215-E215,2)</x:f>
        <x:v>1637.23</x:v>
      </x:c>
      <x:c r="G215" s="7" t="n">
        <x:f>ROUND(C215-F215,2)</x:f>
        <x:v>205653.21</x:v>
      </x:c>
      <x:c r="H215" s="7" t="n">
        <x:f>ROUND(D215-E215-F215,2)</x:f>
        <x:v>0</x:v>
      </x:c>
      <x:c r="I215" s="1" t="str">
        <x:v>Projection</x:v>
      </x:c>
    </x:row>
    <x:row r="216" ht="21" customHeight="1">
      <x:c r="A216" s="1" t="n">
        <x:v>205</x:v>
      </x:c>
      <x:c r="B216" s="6" t="n">
        <x:v>52078</x:v>
      </x:c>
      <x:c r="C216" s="7" t="n">
        <x:f>G215</x:f>
        <x:v>205653.21</x:v>
      </x:c>
      <x:c r="D216" s="7" t="n">
        <x:f>IF(A216=$B$7,ROUND(C216+E216,2),MIN($B$8,ROUND(C216+E216,2)))</x:f>
        <x:v>2742.78</x:v>
      </x:c>
      <x:c r="E216" s="7" t="n">
        <x:f>ROUND(C216*$B$6/12,2)</x:f>
        <x:v>1096.82</x:v>
      </x:c>
      <x:c r="F216" s="7" t="n">
        <x:f>ROUND(D216-E216,2)</x:f>
        <x:v>1645.96</x:v>
      </x:c>
      <x:c r="G216" s="7" t="n">
        <x:f>ROUND(C216-F216,2)</x:f>
        <x:v>204007.25</x:v>
      </x:c>
      <x:c r="H216" s="7" t="n">
        <x:f>ROUND(D216-E216-F216,2)</x:f>
        <x:v>0</x:v>
      </x:c>
      <x:c r="I216" s="1" t="str">
        <x:v>Projection</x:v>
      </x:c>
    </x:row>
    <x:row r="217" ht="21" customHeight="1">
      <x:c r="A217" s="1" t="n">
        <x:v>206</x:v>
      </x:c>
      <x:c r="B217" s="6" t="n">
        <x:v>52109</x:v>
      </x:c>
      <x:c r="C217" s="7" t="n">
        <x:f>G216</x:f>
        <x:v>204007.25</x:v>
      </x:c>
      <x:c r="D217" s="7" t="n">
        <x:f>IF(A217=$B$7,ROUND(C217+E217,2),MIN($B$8,ROUND(C217+E217,2)))</x:f>
        <x:v>2742.78</x:v>
      </x:c>
      <x:c r="E217" s="7" t="n">
        <x:f>ROUND(C217*$B$6/12,2)</x:f>
        <x:v>1088.04</x:v>
      </x:c>
      <x:c r="F217" s="7" t="n">
        <x:f>ROUND(D217-E217,2)</x:f>
        <x:v>1654.74</x:v>
      </x:c>
      <x:c r="G217" s="7" t="n">
        <x:f>ROUND(C217-F217,2)</x:f>
        <x:v>202352.51</x:v>
      </x:c>
      <x:c r="H217" s="7" t="n">
        <x:f>ROUND(D217-E217-F217,2)</x:f>
        <x:v>0</x:v>
      </x:c>
      <x:c r="I217" s="1" t="str">
        <x:v>Projection</x:v>
      </x:c>
    </x:row>
    <x:row r="218" ht="21" customHeight="1">
      <x:c r="A218" s="1" t="n">
        <x:v>207</x:v>
      </x:c>
      <x:c r="B218" s="6" t="n">
        <x:v>52139</x:v>
      </x:c>
      <x:c r="C218" s="7" t="n">
        <x:f>G217</x:f>
        <x:v>202352.51</x:v>
      </x:c>
      <x:c r="D218" s="7" t="n">
        <x:f>IF(A218=$B$7,ROUND(C218+E218,2),MIN($B$8,ROUND(C218+E218,2)))</x:f>
        <x:v>2742.78</x:v>
      </x:c>
      <x:c r="E218" s="7" t="n">
        <x:f>ROUND(C218*$B$6/12,2)</x:f>
        <x:v>1079.21</x:v>
      </x:c>
      <x:c r="F218" s="7" t="n">
        <x:f>ROUND(D218-E218,2)</x:f>
        <x:v>1663.57</x:v>
      </x:c>
      <x:c r="G218" s="7" t="n">
        <x:f>ROUND(C218-F218,2)</x:f>
        <x:v>200688.94</x:v>
      </x:c>
      <x:c r="H218" s="7" t="n">
        <x:f>ROUND(D218-E218-F218,2)</x:f>
        <x:v>0</x:v>
      </x:c>
      <x:c r="I218" s="1" t="str">
        <x:v>Projection</x:v>
      </x:c>
    </x:row>
    <x:row r="219" ht="21" customHeight="1">
      <x:c r="A219" s="1" t="n">
        <x:v>208</x:v>
      </x:c>
      <x:c r="B219" s="6" t="n">
        <x:v>52170</x:v>
      </x:c>
      <x:c r="C219" s="7" t="n">
        <x:f>G218</x:f>
        <x:v>200688.94</x:v>
      </x:c>
      <x:c r="D219" s="7" t="n">
        <x:f>IF(A219=$B$7,ROUND(C219+E219,2),MIN($B$8,ROUND(C219+E219,2)))</x:f>
        <x:v>2742.78</x:v>
      </x:c>
      <x:c r="E219" s="7" t="n">
        <x:f>ROUND(C219*$B$6/12,2)</x:f>
        <x:v>1070.34</x:v>
      </x:c>
      <x:c r="F219" s="7" t="n">
        <x:f>ROUND(D219-E219,2)</x:f>
        <x:v>1672.44</x:v>
      </x:c>
      <x:c r="G219" s="7" t="n">
        <x:f>ROUND(C219-F219,2)</x:f>
        <x:v>199016.5</x:v>
      </x:c>
      <x:c r="H219" s="7" t="n">
        <x:f>ROUND(D219-E219-F219,2)</x:f>
        <x:v>0</x:v>
      </x:c>
      <x:c r="I219" s="1" t="str">
        <x:v>Projection</x:v>
      </x:c>
    </x:row>
    <x:row r="220" ht="21" customHeight="1">
      <x:c r="A220" s="1" t="n">
        <x:v>209</x:v>
      </x:c>
      <x:c r="B220" s="6" t="n">
        <x:v>52200</x:v>
      </x:c>
      <x:c r="C220" s="7" t="n">
        <x:f>G219</x:f>
        <x:v>199016.5</x:v>
      </x:c>
      <x:c r="D220" s="7" t="n">
        <x:f>IF(A220=$B$7,ROUND(C220+E220,2),MIN($B$8,ROUND(C220+E220,2)))</x:f>
        <x:v>2742.78</x:v>
      </x:c>
      <x:c r="E220" s="7" t="n">
        <x:f>ROUND(C220*$B$6/12,2)</x:f>
        <x:v>1061.42</x:v>
      </x:c>
      <x:c r="F220" s="7" t="n">
        <x:f>ROUND(D220-E220,2)</x:f>
        <x:v>1681.36</x:v>
      </x:c>
      <x:c r="G220" s="7" t="n">
        <x:f>ROUND(C220-F220,2)</x:f>
        <x:v>197335.14</x:v>
      </x:c>
      <x:c r="H220" s="7" t="n">
        <x:f>ROUND(D220-E220-F220,2)</x:f>
        <x:v>0</x:v>
      </x:c>
      <x:c r="I220" s="1" t="str">
        <x:v>Projection</x:v>
      </x:c>
    </x:row>
    <x:row r="221" ht="21" customHeight="1">
      <x:c r="A221" s="1" t="n">
        <x:v>210</x:v>
      </x:c>
      <x:c r="B221" s="6" t="n">
        <x:v>52231</x:v>
      </x:c>
      <x:c r="C221" s="7" t="n">
        <x:f>G220</x:f>
        <x:v>197335.14</x:v>
      </x:c>
      <x:c r="D221" s="7" t="n">
        <x:f>IF(A221=$B$7,ROUND(C221+E221,2),MIN($B$8,ROUND(C221+E221,2)))</x:f>
        <x:v>2742.78</x:v>
      </x:c>
      <x:c r="E221" s="7" t="n">
        <x:f>ROUND(C221*$B$6/12,2)</x:f>
        <x:v>1052.45</x:v>
      </x:c>
      <x:c r="F221" s="7" t="n">
        <x:f>ROUND(D221-E221,2)</x:f>
        <x:v>1690.33</x:v>
      </x:c>
      <x:c r="G221" s="7" t="n">
        <x:f>ROUND(C221-F221,2)</x:f>
        <x:v>195644.81</x:v>
      </x:c>
      <x:c r="H221" s="7" t="n">
        <x:f>ROUND(D221-E221-F221,2)</x:f>
        <x:v>0</x:v>
      </x:c>
      <x:c r="I221" s="1" t="str">
        <x:v>Projection</x:v>
      </x:c>
    </x:row>
    <x:row r="222" ht="21" customHeight="1">
      <x:c r="A222" s="1" t="n">
        <x:v>211</x:v>
      </x:c>
      <x:c r="B222" s="6" t="n">
        <x:v>52262</x:v>
      </x:c>
      <x:c r="C222" s="7" t="n">
        <x:f>G221</x:f>
        <x:v>195644.81</x:v>
      </x:c>
      <x:c r="D222" s="7" t="n">
        <x:f>IF(A222=$B$7,ROUND(C222+E222,2),MIN($B$8,ROUND(C222+E222,2)))</x:f>
        <x:v>2742.78</x:v>
      </x:c>
      <x:c r="E222" s="7" t="n">
        <x:f>ROUND(C222*$B$6/12,2)</x:f>
        <x:v>1043.44</x:v>
      </x:c>
      <x:c r="F222" s="7" t="n">
        <x:f>ROUND(D222-E222,2)</x:f>
        <x:v>1699.34</x:v>
      </x:c>
      <x:c r="G222" s="7" t="n">
        <x:f>ROUND(C222-F222,2)</x:f>
        <x:v>193945.47</x:v>
      </x:c>
      <x:c r="H222" s="7" t="n">
        <x:f>ROUND(D222-E222-F222,2)</x:f>
        <x:v>0</x:v>
      </x:c>
      <x:c r="I222" s="1" t="str">
        <x:v>Projection</x:v>
      </x:c>
    </x:row>
    <x:row r="223" ht="21" customHeight="1">
      <x:c r="A223" s="1" t="n">
        <x:v>212</x:v>
      </x:c>
      <x:c r="B223" s="6" t="n">
        <x:v>52290</x:v>
      </x:c>
      <x:c r="C223" s="7" t="n">
        <x:f>G222</x:f>
        <x:v>193945.47</x:v>
      </x:c>
      <x:c r="D223" s="7" t="n">
        <x:f>IF(A223=$B$7,ROUND(C223+E223,2),MIN($B$8,ROUND(C223+E223,2)))</x:f>
        <x:v>2742.78</x:v>
      </x:c>
      <x:c r="E223" s="7" t="n">
        <x:f>ROUND(C223*$B$6/12,2)</x:f>
        <x:v>1034.38</x:v>
      </x:c>
      <x:c r="F223" s="7" t="n">
        <x:f>ROUND(D223-E223,2)</x:f>
        <x:v>1708.4</x:v>
      </x:c>
      <x:c r="G223" s="7" t="n">
        <x:f>ROUND(C223-F223,2)</x:f>
        <x:v>192237.07</x:v>
      </x:c>
      <x:c r="H223" s="7" t="n">
        <x:f>ROUND(D223-E223-F223,2)</x:f>
        <x:v>0</x:v>
      </x:c>
      <x:c r="I223" s="1" t="str">
        <x:v>Projection</x:v>
      </x:c>
    </x:row>
    <x:row r="224" ht="21" customHeight="1">
      <x:c r="A224" s="1" t="n">
        <x:v>213</x:v>
      </x:c>
      <x:c r="B224" s="6" t="n">
        <x:v>52321</x:v>
      </x:c>
      <x:c r="C224" s="7" t="n">
        <x:f>G223</x:f>
        <x:v>192237.07</x:v>
      </x:c>
      <x:c r="D224" s="7" t="n">
        <x:f>IF(A224=$B$7,ROUND(C224+E224,2),MIN($B$8,ROUND(C224+E224,2)))</x:f>
        <x:v>2742.78</x:v>
      </x:c>
      <x:c r="E224" s="7" t="n">
        <x:f>ROUND(C224*$B$6/12,2)</x:f>
        <x:v>1025.26</x:v>
      </x:c>
      <x:c r="F224" s="7" t="n">
        <x:f>ROUND(D224-E224,2)</x:f>
        <x:v>1717.52</x:v>
      </x:c>
      <x:c r="G224" s="7" t="n">
        <x:f>ROUND(C224-F224,2)</x:f>
        <x:v>190519.55</x:v>
      </x:c>
      <x:c r="H224" s="7" t="n">
        <x:f>ROUND(D224-E224-F224,2)</x:f>
        <x:v>0</x:v>
      </x:c>
      <x:c r="I224" s="1" t="str">
        <x:v>Projection</x:v>
      </x:c>
    </x:row>
    <x:row r="225" ht="21" customHeight="1">
      <x:c r="A225" s="1" t="n">
        <x:v>214</x:v>
      </x:c>
      <x:c r="B225" s="6" t="n">
        <x:v>52351</x:v>
      </x:c>
      <x:c r="C225" s="7" t="n">
        <x:f>G224</x:f>
        <x:v>190519.55</x:v>
      </x:c>
      <x:c r="D225" s="7" t="n">
        <x:f>IF(A225=$B$7,ROUND(C225+E225,2),MIN($B$8,ROUND(C225+E225,2)))</x:f>
        <x:v>2742.78</x:v>
      </x:c>
      <x:c r="E225" s="7" t="n">
        <x:f>ROUND(C225*$B$6/12,2)</x:f>
        <x:v>1016.1</x:v>
      </x:c>
      <x:c r="F225" s="7" t="n">
        <x:f>ROUND(D225-E225,2)</x:f>
        <x:v>1726.68</x:v>
      </x:c>
      <x:c r="G225" s="7" t="n">
        <x:f>ROUND(C225-F225,2)</x:f>
        <x:v>188792.87</x:v>
      </x:c>
      <x:c r="H225" s="7" t="n">
        <x:f>ROUND(D225-E225-F225,2)</x:f>
        <x:v>0</x:v>
      </x:c>
      <x:c r="I225" s="1" t="str">
        <x:v>Projection</x:v>
      </x:c>
    </x:row>
    <x:row r="226" ht="21" customHeight="1">
      <x:c r="A226" s="1" t="n">
        <x:v>215</x:v>
      </x:c>
      <x:c r="B226" s="6" t="n">
        <x:v>52382</x:v>
      </x:c>
      <x:c r="C226" s="7" t="n">
        <x:f>G225</x:f>
        <x:v>188792.87</x:v>
      </x:c>
      <x:c r="D226" s="7" t="n">
        <x:f>IF(A226=$B$7,ROUND(C226+E226,2),MIN($B$8,ROUND(C226+E226,2)))</x:f>
        <x:v>2742.78</x:v>
      </x:c>
      <x:c r="E226" s="7" t="n">
        <x:f>ROUND(C226*$B$6/12,2)</x:f>
        <x:v>1006.9</x:v>
      </x:c>
      <x:c r="F226" s="7" t="n">
        <x:f>ROUND(D226-E226,2)</x:f>
        <x:v>1735.88</x:v>
      </x:c>
      <x:c r="G226" s="7" t="n">
        <x:f>ROUND(C226-F226,2)</x:f>
        <x:v>187056.99</x:v>
      </x:c>
      <x:c r="H226" s="7" t="n">
        <x:f>ROUND(D226-E226-F226,2)</x:f>
        <x:v>0</x:v>
      </x:c>
      <x:c r="I226" s="1" t="str">
        <x:v>Projection</x:v>
      </x:c>
    </x:row>
    <x:row r="227" ht="21" customHeight="1">
      <x:c r="A227" s="1" t="n">
        <x:v>216</x:v>
      </x:c>
      <x:c r="B227" s="6" t="n">
        <x:v>52412</x:v>
      </x:c>
      <x:c r="C227" s="7" t="n">
        <x:f>G226</x:f>
        <x:v>187056.99</x:v>
      </x:c>
      <x:c r="D227" s="7" t="n">
        <x:f>IF(A227=$B$7,ROUND(C227+E227,2),MIN($B$8,ROUND(C227+E227,2)))</x:f>
        <x:v>2742.78</x:v>
      </x:c>
      <x:c r="E227" s="7" t="n">
        <x:f>ROUND(C227*$B$6/12,2)</x:f>
        <x:v>997.64</x:v>
      </x:c>
      <x:c r="F227" s="7" t="n">
        <x:f>ROUND(D227-E227,2)</x:f>
        <x:v>1745.14</x:v>
      </x:c>
      <x:c r="G227" s="7" t="n">
        <x:f>ROUND(C227-F227,2)</x:f>
        <x:v>185311.85</x:v>
      </x:c>
      <x:c r="H227" s="7" t="n">
        <x:f>ROUND(D227-E227-F227,2)</x:f>
        <x:v>0</x:v>
      </x:c>
      <x:c r="I227" s="1" t="str">
        <x:v>Projection</x:v>
      </x:c>
    </x:row>
    <x:row r="228" ht="21" customHeight="1">
      <x:c r="A228" s="1" t="n">
        <x:v>217</x:v>
      </x:c>
      <x:c r="B228" s="6" t="n">
        <x:v>52443</x:v>
      </x:c>
      <x:c r="C228" s="7" t="n">
        <x:f>G227</x:f>
        <x:v>185311.85</x:v>
      </x:c>
      <x:c r="D228" s="7" t="n">
        <x:f>IF(A228=$B$7,ROUND(C228+E228,2),MIN($B$8,ROUND(C228+E228,2)))</x:f>
        <x:v>2742.78</x:v>
      </x:c>
      <x:c r="E228" s="7" t="n">
        <x:f>ROUND(C228*$B$6/12,2)</x:f>
        <x:v>988.33</x:v>
      </x:c>
      <x:c r="F228" s="7" t="n">
        <x:f>ROUND(D228-E228,2)</x:f>
        <x:v>1754.45</x:v>
      </x:c>
      <x:c r="G228" s="7" t="n">
        <x:f>ROUND(C228-F228,2)</x:f>
        <x:v>183557.4</x:v>
      </x:c>
      <x:c r="H228" s="7" t="n">
        <x:f>ROUND(D228-E228-F228,2)</x:f>
        <x:v>0</x:v>
      </x:c>
      <x:c r="I228" s="1" t="str">
        <x:v>Projection</x:v>
      </x:c>
    </x:row>
    <x:row r="229" ht="21" customHeight="1">
      <x:c r="A229" s="1" t="n">
        <x:v>218</x:v>
      </x:c>
      <x:c r="B229" s="6" t="n">
        <x:v>52474</x:v>
      </x:c>
      <x:c r="C229" s="7" t="n">
        <x:f>G228</x:f>
        <x:v>183557.4</x:v>
      </x:c>
      <x:c r="D229" s="7" t="n">
        <x:f>IF(A229=$B$7,ROUND(C229+E229,2),MIN($B$8,ROUND(C229+E229,2)))</x:f>
        <x:v>2742.78</x:v>
      </x:c>
      <x:c r="E229" s="7" t="n">
        <x:f>ROUND(C229*$B$6/12,2)</x:f>
        <x:v>978.97</x:v>
      </x:c>
      <x:c r="F229" s="7" t="n">
        <x:f>ROUND(D229-E229,2)</x:f>
        <x:v>1763.81</x:v>
      </x:c>
      <x:c r="G229" s="7" t="n">
        <x:f>ROUND(C229-F229,2)</x:f>
        <x:v>181793.59</x:v>
      </x:c>
      <x:c r="H229" s="7" t="n">
        <x:f>ROUND(D229-E229-F229,2)</x:f>
        <x:v>0</x:v>
      </x:c>
      <x:c r="I229" s="1" t="str">
        <x:v>Projection</x:v>
      </x:c>
    </x:row>
    <x:row r="230" ht="21" customHeight="1">
      <x:c r="A230" s="1" t="n">
        <x:v>219</x:v>
      </x:c>
      <x:c r="B230" s="6" t="n">
        <x:v>52504</x:v>
      </x:c>
      <x:c r="C230" s="7" t="n">
        <x:f>G229</x:f>
        <x:v>181793.59</x:v>
      </x:c>
      <x:c r="D230" s="7" t="n">
        <x:f>IF(A230=$B$7,ROUND(C230+E230,2),MIN($B$8,ROUND(C230+E230,2)))</x:f>
        <x:v>2742.78</x:v>
      </x:c>
      <x:c r="E230" s="7" t="n">
        <x:f>ROUND(C230*$B$6/12,2)</x:f>
        <x:v>969.57</x:v>
      </x:c>
      <x:c r="F230" s="7" t="n">
        <x:f>ROUND(D230-E230,2)</x:f>
        <x:v>1773.21</x:v>
      </x:c>
      <x:c r="G230" s="7" t="n">
        <x:f>ROUND(C230-F230,2)</x:f>
        <x:v>180020.38</x:v>
      </x:c>
      <x:c r="H230" s="7" t="n">
        <x:f>ROUND(D230-E230-F230,2)</x:f>
        <x:v>0</x:v>
      </x:c>
      <x:c r="I230" s="1" t="str">
        <x:v>Projection</x:v>
      </x:c>
    </x:row>
    <x:row r="231" ht="21" customHeight="1">
      <x:c r="A231" s="1" t="n">
        <x:v>220</x:v>
      </x:c>
      <x:c r="B231" s="6" t="n">
        <x:v>52535</x:v>
      </x:c>
      <x:c r="C231" s="7" t="n">
        <x:f>G230</x:f>
        <x:v>180020.38</x:v>
      </x:c>
      <x:c r="D231" s="7" t="n">
        <x:f>IF(A231=$B$7,ROUND(C231+E231,2),MIN($B$8,ROUND(C231+E231,2)))</x:f>
        <x:v>2742.78</x:v>
      </x:c>
      <x:c r="E231" s="7" t="n">
        <x:f>ROUND(C231*$B$6/12,2)</x:f>
        <x:v>960.11</x:v>
      </x:c>
      <x:c r="F231" s="7" t="n">
        <x:f>ROUND(D231-E231,2)</x:f>
        <x:v>1782.67</x:v>
      </x:c>
      <x:c r="G231" s="7" t="n">
        <x:f>ROUND(C231-F231,2)</x:f>
        <x:v>178237.71</x:v>
      </x:c>
      <x:c r="H231" s="7" t="n">
        <x:f>ROUND(D231-E231-F231,2)</x:f>
        <x:v>0</x:v>
      </x:c>
      <x:c r="I231" s="1" t="str">
        <x:v>Projection</x:v>
      </x:c>
    </x:row>
    <x:row r="232" ht="21" customHeight="1">
      <x:c r="A232" s="1" t="n">
        <x:v>221</x:v>
      </x:c>
      <x:c r="B232" s="6" t="n">
        <x:v>52565</x:v>
      </x:c>
      <x:c r="C232" s="7" t="n">
        <x:f>G231</x:f>
        <x:v>178237.71</x:v>
      </x:c>
      <x:c r="D232" s="7" t="n">
        <x:f>IF(A232=$B$7,ROUND(C232+E232,2),MIN($B$8,ROUND(C232+E232,2)))</x:f>
        <x:v>2742.78</x:v>
      </x:c>
      <x:c r="E232" s="7" t="n">
        <x:f>ROUND(C232*$B$6/12,2)</x:f>
        <x:v>950.6</x:v>
      </x:c>
      <x:c r="F232" s="7" t="n">
        <x:f>ROUND(D232-E232,2)</x:f>
        <x:v>1792.18</x:v>
      </x:c>
      <x:c r="G232" s="7" t="n">
        <x:f>ROUND(C232-F232,2)</x:f>
        <x:v>176445.53</x:v>
      </x:c>
      <x:c r="H232" s="7" t="n">
        <x:f>ROUND(D232-E232-F232,2)</x:f>
        <x:v>0</x:v>
      </x:c>
      <x:c r="I232" s="1" t="str">
        <x:v>Projection</x:v>
      </x:c>
    </x:row>
    <x:row r="233" ht="21" customHeight="1">
      <x:c r="A233" s="1" t="n">
        <x:v>222</x:v>
      </x:c>
      <x:c r="B233" s="6" t="n">
        <x:v>52596</x:v>
      </x:c>
      <x:c r="C233" s="7" t="n">
        <x:f>G232</x:f>
        <x:v>176445.53</x:v>
      </x:c>
      <x:c r="D233" s="7" t="n">
        <x:f>IF(A233=$B$7,ROUND(C233+E233,2),MIN($B$8,ROUND(C233+E233,2)))</x:f>
        <x:v>2742.78</x:v>
      </x:c>
      <x:c r="E233" s="7" t="n">
        <x:f>ROUND(C233*$B$6/12,2)</x:f>
        <x:v>941.04</x:v>
      </x:c>
      <x:c r="F233" s="7" t="n">
        <x:f>ROUND(D233-E233,2)</x:f>
        <x:v>1801.74</x:v>
      </x:c>
      <x:c r="G233" s="7" t="n">
        <x:f>ROUND(C233-F233,2)</x:f>
        <x:v>174643.79</x:v>
      </x:c>
      <x:c r="H233" s="7" t="n">
        <x:f>ROUND(D233-E233-F233,2)</x:f>
        <x:v>0</x:v>
      </x:c>
      <x:c r="I233" s="1" t="str">
        <x:v>Projection</x:v>
      </x:c>
    </x:row>
    <x:row r="234" ht="21" customHeight="1">
      <x:c r="A234" s="1" t="n">
        <x:v>223</x:v>
      </x:c>
      <x:c r="B234" s="6" t="n">
        <x:v>52627</x:v>
      </x:c>
      <x:c r="C234" s="7" t="n">
        <x:f>G233</x:f>
        <x:v>174643.79</x:v>
      </x:c>
      <x:c r="D234" s="7" t="n">
        <x:f>IF(A234=$B$7,ROUND(C234+E234,2),MIN($B$8,ROUND(C234+E234,2)))</x:f>
        <x:v>2742.78</x:v>
      </x:c>
      <x:c r="E234" s="7" t="n">
        <x:f>ROUND(C234*$B$6/12,2)</x:f>
        <x:v>931.43</x:v>
      </x:c>
      <x:c r="F234" s="7" t="n">
        <x:f>ROUND(D234-E234,2)</x:f>
        <x:v>1811.35</x:v>
      </x:c>
      <x:c r="G234" s="7" t="n">
        <x:f>ROUND(C234-F234,2)</x:f>
        <x:v>172832.44</x:v>
      </x:c>
      <x:c r="H234" s="7" t="n">
        <x:f>ROUND(D234-E234-F234,2)</x:f>
        <x:v>0</x:v>
      </x:c>
      <x:c r="I234" s="1" t="str">
        <x:v>Projection</x:v>
      </x:c>
    </x:row>
    <x:row r="235" ht="21" customHeight="1">
      <x:c r="A235" s="1" t="n">
        <x:v>224</x:v>
      </x:c>
      <x:c r="B235" s="6" t="n">
        <x:v>52656</x:v>
      </x:c>
      <x:c r="C235" s="7" t="n">
        <x:f>G234</x:f>
        <x:v>172832.44</x:v>
      </x:c>
      <x:c r="D235" s="7" t="n">
        <x:f>IF(A235=$B$7,ROUND(C235+E235,2),MIN($B$8,ROUND(C235+E235,2)))</x:f>
        <x:v>2742.78</x:v>
      </x:c>
      <x:c r="E235" s="7" t="n">
        <x:f>ROUND(C235*$B$6/12,2)</x:f>
        <x:v>921.77</x:v>
      </x:c>
      <x:c r="F235" s="7" t="n">
        <x:f>ROUND(D235-E235,2)</x:f>
        <x:v>1821.01</x:v>
      </x:c>
      <x:c r="G235" s="7" t="n">
        <x:f>ROUND(C235-F235,2)</x:f>
        <x:v>171011.43</x:v>
      </x:c>
      <x:c r="H235" s="7" t="n">
        <x:f>ROUND(D235-E235-F235,2)</x:f>
        <x:v>0</x:v>
      </x:c>
      <x:c r="I235" s="1" t="str">
        <x:v>Projection</x:v>
      </x:c>
    </x:row>
    <x:row r="236" ht="21" customHeight="1">
      <x:c r="A236" s="1" t="n">
        <x:v>225</x:v>
      </x:c>
      <x:c r="B236" s="6" t="n">
        <x:v>52687</x:v>
      </x:c>
      <x:c r="C236" s="7" t="n">
        <x:f>G235</x:f>
        <x:v>171011.43</x:v>
      </x:c>
      <x:c r="D236" s="7" t="n">
        <x:f>IF(A236=$B$7,ROUND(C236+E236,2),MIN($B$8,ROUND(C236+E236,2)))</x:f>
        <x:v>2742.78</x:v>
      </x:c>
      <x:c r="E236" s="7" t="n">
        <x:f>ROUND(C236*$B$6/12,2)</x:f>
        <x:v>912.06</x:v>
      </x:c>
      <x:c r="F236" s="7" t="n">
        <x:f>ROUND(D236-E236,2)</x:f>
        <x:v>1830.72</x:v>
      </x:c>
      <x:c r="G236" s="7" t="n">
        <x:f>ROUND(C236-F236,2)</x:f>
        <x:v>169180.71</x:v>
      </x:c>
      <x:c r="H236" s="7" t="n">
        <x:f>ROUND(D236-E236-F236,2)</x:f>
        <x:v>0</x:v>
      </x:c>
      <x:c r="I236" s="1" t="str">
        <x:v>Projection</x:v>
      </x:c>
    </x:row>
    <x:row r="237" ht="21" customHeight="1">
      <x:c r="A237" s="1" t="n">
        <x:v>226</x:v>
      </x:c>
      <x:c r="B237" s="6" t="n">
        <x:v>52717</x:v>
      </x:c>
      <x:c r="C237" s="7" t="n">
        <x:f>G236</x:f>
        <x:v>169180.71</x:v>
      </x:c>
      <x:c r="D237" s="7" t="n">
        <x:f>IF(A237=$B$7,ROUND(C237+E237,2),MIN($B$8,ROUND(C237+E237,2)))</x:f>
        <x:v>2742.78</x:v>
      </x:c>
      <x:c r="E237" s="7" t="n">
        <x:f>ROUND(C237*$B$6/12,2)</x:f>
        <x:v>902.3</x:v>
      </x:c>
      <x:c r="F237" s="7" t="n">
        <x:f>ROUND(D237-E237,2)</x:f>
        <x:v>1840.48</x:v>
      </x:c>
      <x:c r="G237" s="7" t="n">
        <x:f>ROUND(C237-F237,2)</x:f>
        <x:v>167340.23</x:v>
      </x:c>
      <x:c r="H237" s="7" t="n">
        <x:f>ROUND(D237-E237-F237,2)</x:f>
        <x:v>0</x:v>
      </x:c>
      <x:c r="I237" s="1" t="str">
        <x:v>Projection</x:v>
      </x:c>
    </x:row>
    <x:row r="238" ht="21" customHeight="1">
      <x:c r="A238" s="1" t="n">
        <x:v>227</x:v>
      </x:c>
      <x:c r="B238" s="6" t="n">
        <x:v>52748</x:v>
      </x:c>
      <x:c r="C238" s="7" t="n">
        <x:f>G237</x:f>
        <x:v>167340.23</x:v>
      </x:c>
      <x:c r="D238" s="7" t="n">
        <x:f>IF(A238=$B$7,ROUND(C238+E238,2),MIN($B$8,ROUND(C238+E238,2)))</x:f>
        <x:v>2742.78</x:v>
      </x:c>
      <x:c r="E238" s="7" t="n">
        <x:f>ROUND(C238*$B$6/12,2)</x:f>
        <x:v>892.48</x:v>
      </x:c>
      <x:c r="F238" s="7" t="n">
        <x:f>ROUND(D238-E238,2)</x:f>
        <x:v>1850.3</x:v>
      </x:c>
      <x:c r="G238" s="7" t="n">
        <x:f>ROUND(C238-F238,2)</x:f>
        <x:v>165489.93</x:v>
      </x:c>
      <x:c r="H238" s="7" t="n">
        <x:f>ROUND(D238-E238-F238,2)</x:f>
        <x:v>0</x:v>
      </x:c>
      <x:c r="I238" s="1" t="str">
        <x:v>Projection</x:v>
      </x:c>
    </x:row>
    <x:row r="239" ht="21" customHeight="1">
      <x:c r="A239" s="1" t="n">
        <x:v>228</x:v>
      </x:c>
      <x:c r="B239" s="6" t="n">
        <x:v>52778</x:v>
      </x:c>
      <x:c r="C239" s="7" t="n">
        <x:f>G238</x:f>
        <x:v>165489.93</x:v>
      </x:c>
      <x:c r="D239" s="7" t="n">
        <x:f>IF(A239=$B$7,ROUND(C239+E239,2),MIN($B$8,ROUND(C239+E239,2)))</x:f>
        <x:v>2742.78</x:v>
      </x:c>
      <x:c r="E239" s="7" t="n">
        <x:f>ROUND(C239*$B$6/12,2)</x:f>
        <x:v>882.61</x:v>
      </x:c>
      <x:c r="F239" s="7" t="n">
        <x:f>ROUND(D239-E239,2)</x:f>
        <x:v>1860.17</x:v>
      </x:c>
      <x:c r="G239" s="7" t="n">
        <x:f>ROUND(C239-F239,2)</x:f>
        <x:v>163629.76</x:v>
      </x:c>
      <x:c r="H239" s="7" t="n">
        <x:f>ROUND(D239-E239-F239,2)</x:f>
        <x:v>0</x:v>
      </x:c>
      <x:c r="I239" s="1" t="str">
        <x:v>Projection</x:v>
      </x:c>
    </x:row>
    <x:row r="240" ht="21" customHeight="1">
      <x:c r="A240" s="1" t="n">
        <x:v>229</x:v>
      </x:c>
      <x:c r="B240" s="6" t="n">
        <x:v>52809</x:v>
      </x:c>
      <x:c r="C240" s="7" t="n">
        <x:f>G239</x:f>
        <x:v>163629.76</x:v>
      </x:c>
      <x:c r="D240" s="7" t="n">
        <x:f>IF(A240=$B$7,ROUND(C240+E240,2),MIN($B$8,ROUND(C240+E240,2)))</x:f>
        <x:v>2742.78</x:v>
      </x:c>
      <x:c r="E240" s="7" t="n">
        <x:f>ROUND(C240*$B$6/12,2)</x:f>
        <x:v>872.69</x:v>
      </x:c>
      <x:c r="F240" s="7" t="n">
        <x:f>ROUND(D240-E240,2)</x:f>
        <x:v>1870.09</x:v>
      </x:c>
      <x:c r="G240" s="7" t="n">
        <x:f>ROUND(C240-F240,2)</x:f>
        <x:v>161759.67</x:v>
      </x:c>
      <x:c r="H240" s="7" t="n">
        <x:f>ROUND(D240-E240-F240,2)</x:f>
        <x:v>0</x:v>
      </x:c>
      <x:c r="I240" s="1" t="str">
        <x:v>Projection</x:v>
      </x:c>
    </x:row>
    <x:row r="241" ht="21" customHeight="1">
      <x:c r="A241" s="1" t="n">
        <x:v>230</x:v>
      </x:c>
      <x:c r="B241" s="6" t="n">
        <x:v>52840</x:v>
      </x:c>
      <x:c r="C241" s="7" t="n">
        <x:f>G240</x:f>
        <x:v>161759.67</x:v>
      </x:c>
      <x:c r="D241" s="7" t="n">
        <x:f>IF(A241=$B$7,ROUND(C241+E241,2),MIN($B$8,ROUND(C241+E241,2)))</x:f>
        <x:v>2742.78</x:v>
      </x:c>
      <x:c r="E241" s="7" t="n">
        <x:f>ROUND(C241*$B$6/12,2)</x:f>
        <x:v>862.72</x:v>
      </x:c>
      <x:c r="F241" s="7" t="n">
        <x:f>ROUND(D241-E241,2)</x:f>
        <x:v>1880.06</x:v>
      </x:c>
      <x:c r="G241" s="7" t="n">
        <x:f>ROUND(C241-F241,2)</x:f>
        <x:v>159879.61</x:v>
      </x:c>
      <x:c r="H241" s="7" t="n">
        <x:f>ROUND(D241-E241-F241,2)</x:f>
        <x:v>0</x:v>
      </x:c>
      <x:c r="I241" s="1" t="str">
        <x:v>Projection</x:v>
      </x:c>
    </x:row>
    <x:row r="242" ht="21" customHeight="1">
      <x:c r="A242" s="1" t="n">
        <x:v>231</x:v>
      </x:c>
      <x:c r="B242" s="6" t="n">
        <x:v>52870</x:v>
      </x:c>
      <x:c r="C242" s="7" t="n">
        <x:f>G241</x:f>
        <x:v>159879.61</x:v>
      </x:c>
      <x:c r="D242" s="7" t="n">
        <x:f>IF(A242=$B$7,ROUND(C242+E242,2),MIN($B$8,ROUND(C242+E242,2)))</x:f>
        <x:v>2742.78</x:v>
      </x:c>
      <x:c r="E242" s="7" t="n">
        <x:f>ROUND(C242*$B$6/12,2)</x:f>
        <x:v>852.69</x:v>
      </x:c>
      <x:c r="F242" s="7" t="n">
        <x:f>ROUND(D242-E242,2)</x:f>
        <x:v>1890.09</x:v>
      </x:c>
      <x:c r="G242" s="7" t="n">
        <x:f>ROUND(C242-F242,2)</x:f>
        <x:v>157989.52</x:v>
      </x:c>
      <x:c r="H242" s="7" t="n">
        <x:f>ROUND(D242-E242-F242,2)</x:f>
        <x:v>0</x:v>
      </x:c>
      <x:c r="I242" s="1" t="str">
        <x:v>Projection</x:v>
      </x:c>
    </x:row>
    <x:row r="243" ht="21" customHeight="1">
      <x:c r="A243" s="1" t="n">
        <x:v>232</x:v>
      </x:c>
      <x:c r="B243" s="6" t="n">
        <x:v>52901</x:v>
      </x:c>
      <x:c r="C243" s="7" t="n">
        <x:f>G242</x:f>
        <x:v>157989.52</x:v>
      </x:c>
      <x:c r="D243" s="7" t="n">
        <x:f>IF(A243=$B$7,ROUND(C243+E243,2),MIN($B$8,ROUND(C243+E243,2)))</x:f>
        <x:v>2742.78</x:v>
      </x:c>
      <x:c r="E243" s="7" t="n">
        <x:f>ROUND(C243*$B$6/12,2)</x:f>
        <x:v>842.61</x:v>
      </x:c>
      <x:c r="F243" s="7" t="n">
        <x:f>ROUND(D243-E243,2)</x:f>
        <x:v>1900.17</x:v>
      </x:c>
      <x:c r="G243" s="7" t="n">
        <x:f>ROUND(C243-F243,2)</x:f>
        <x:v>156089.35</x:v>
      </x:c>
      <x:c r="H243" s="7" t="n">
        <x:f>ROUND(D243-E243-F243,2)</x:f>
        <x:v>0</x:v>
      </x:c>
      <x:c r="I243" s="1" t="str">
        <x:v>Projection</x:v>
      </x:c>
    </x:row>
    <x:row r="244" ht="21" customHeight="1">
      <x:c r="A244" s="1" t="n">
        <x:v>233</x:v>
      </x:c>
      <x:c r="B244" s="6" t="n">
        <x:v>52931</x:v>
      </x:c>
      <x:c r="C244" s="7" t="n">
        <x:f>G243</x:f>
        <x:v>156089.35</x:v>
      </x:c>
      <x:c r="D244" s="7" t="n">
        <x:f>IF(A244=$B$7,ROUND(C244+E244,2),MIN($B$8,ROUND(C244+E244,2)))</x:f>
        <x:v>2742.78</x:v>
      </x:c>
      <x:c r="E244" s="7" t="n">
        <x:f>ROUND(C244*$B$6/12,2)</x:f>
        <x:v>832.48</x:v>
      </x:c>
      <x:c r="F244" s="7" t="n">
        <x:f>ROUND(D244-E244,2)</x:f>
        <x:v>1910.3</x:v>
      </x:c>
      <x:c r="G244" s="7" t="n">
        <x:f>ROUND(C244-F244,2)</x:f>
        <x:v>154179.05</x:v>
      </x:c>
      <x:c r="H244" s="7" t="n">
        <x:f>ROUND(D244-E244-F244,2)</x:f>
        <x:v>0</x:v>
      </x:c>
      <x:c r="I244" s="1" t="str">
        <x:v>Projection</x:v>
      </x:c>
    </x:row>
    <x:row r="245" ht="21" customHeight="1">
      <x:c r="A245" s="1" t="n">
        <x:v>234</x:v>
      </x:c>
      <x:c r="B245" s="6" t="n">
        <x:v>52962</x:v>
      </x:c>
      <x:c r="C245" s="7" t="n">
        <x:f>G244</x:f>
        <x:v>154179.05</x:v>
      </x:c>
      <x:c r="D245" s="7" t="n">
        <x:f>IF(A245=$B$7,ROUND(C245+E245,2),MIN($B$8,ROUND(C245+E245,2)))</x:f>
        <x:v>2742.78</x:v>
      </x:c>
      <x:c r="E245" s="7" t="n">
        <x:f>ROUND(C245*$B$6/12,2)</x:f>
        <x:v>822.29</x:v>
      </x:c>
      <x:c r="F245" s="7" t="n">
        <x:f>ROUND(D245-E245,2)</x:f>
        <x:v>1920.49</x:v>
      </x:c>
      <x:c r="G245" s="7" t="n">
        <x:f>ROUND(C245-F245,2)</x:f>
        <x:v>152258.56</x:v>
      </x:c>
      <x:c r="H245" s="7" t="n">
        <x:f>ROUND(D245-E245-F245,2)</x:f>
        <x:v>0</x:v>
      </x:c>
      <x:c r="I245" s="1" t="str">
        <x:v>Projection</x:v>
      </x:c>
    </x:row>
    <x:row r="246" ht="21" customHeight="1">
      <x:c r="A246" s="1" t="n">
        <x:v>235</x:v>
      </x:c>
      <x:c r="B246" s="6" t="n">
        <x:v>52993</x:v>
      </x:c>
      <x:c r="C246" s="7" t="n">
        <x:f>G245</x:f>
        <x:v>152258.56</x:v>
      </x:c>
      <x:c r="D246" s="7" t="n">
        <x:f>IF(A246=$B$7,ROUND(C246+E246,2),MIN($B$8,ROUND(C246+E246,2)))</x:f>
        <x:v>2742.78</x:v>
      </x:c>
      <x:c r="E246" s="7" t="n">
        <x:f>ROUND(C246*$B$6/12,2)</x:f>
        <x:v>812.05</x:v>
      </x:c>
      <x:c r="F246" s="7" t="n">
        <x:f>ROUND(D246-E246,2)</x:f>
        <x:v>1930.73</x:v>
      </x:c>
      <x:c r="G246" s="7" t="n">
        <x:f>ROUND(C246-F246,2)</x:f>
        <x:v>150327.83</x:v>
      </x:c>
      <x:c r="H246" s="7" t="n">
        <x:f>ROUND(D246-E246-F246,2)</x:f>
        <x:v>0</x:v>
      </x:c>
      <x:c r="I246" s="1" t="str">
        <x:v>Projection</x:v>
      </x:c>
    </x:row>
    <x:row r="247" ht="21" customHeight="1">
      <x:c r="A247" s="1" t="n">
        <x:v>236</x:v>
      </x:c>
      <x:c r="B247" s="6" t="n">
        <x:v>53021</x:v>
      </x:c>
      <x:c r="C247" s="7" t="n">
        <x:f>G246</x:f>
        <x:v>150327.83</x:v>
      </x:c>
      <x:c r="D247" s="7" t="n">
        <x:f>IF(A247=$B$7,ROUND(C247+E247,2),MIN($B$8,ROUND(C247+E247,2)))</x:f>
        <x:v>2742.78</x:v>
      </x:c>
      <x:c r="E247" s="7" t="n">
        <x:f>ROUND(C247*$B$6/12,2)</x:f>
        <x:v>801.75</x:v>
      </x:c>
      <x:c r="F247" s="7" t="n">
        <x:f>ROUND(D247-E247,2)</x:f>
        <x:v>1941.03</x:v>
      </x:c>
      <x:c r="G247" s="7" t="n">
        <x:f>ROUND(C247-F247,2)</x:f>
        <x:v>148386.8</x:v>
      </x:c>
      <x:c r="H247" s="7" t="n">
        <x:f>ROUND(D247-E247-F247,2)</x:f>
        <x:v>0</x:v>
      </x:c>
      <x:c r="I247" s="1" t="str">
        <x:v>Projection</x:v>
      </x:c>
    </x:row>
    <x:row r="248" ht="21" customHeight="1">
      <x:c r="A248" s="1" t="n">
        <x:v>237</x:v>
      </x:c>
      <x:c r="B248" s="6" t="n">
        <x:v>53052</x:v>
      </x:c>
      <x:c r="C248" s="7" t="n">
        <x:f>G247</x:f>
        <x:v>148386.8</x:v>
      </x:c>
      <x:c r="D248" s="7" t="n">
        <x:f>IF(A248=$B$7,ROUND(C248+E248,2),MIN($B$8,ROUND(C248+E248,2)))</x:f>
        <x:v>2742.78</x:v>
      </x:c>
      <x:c r="E248" s="7" t="n">
        <x:f>ROUND(C248*$B$6/12,2)</x:f>
        <x:v>791.4</x:v>
      </x:c>
      <x:c r="F248" s="7" t="n">
        <x:f>ROUND(D248-E248,2)</x:f>
        <x:v>1951.38</x:v>
      </x:c>
      <x:c r="G248" s="7" t="n">
        <x:f>ROUND(C248-F248,2)</x:f>
        <x:v>146435.42</x:v>
      </x:c>
      <x:c r="H248" s="7" t="n">
        <x:f>ROUND(D248-E248-F248,2)</x:f>
        <x:v>0</x:v>
      </x:c>
      <x:c r="I248" s="1" t="str">
        <x:v>Projection</x:v>
      </x:c>
    </x:row>
    <x:row r="249" ht="21" customHeight="1">
      <x:c r="A249" s="1" t="n">
        <x:v>238</x:v>
      </x:c>
      <x:c r="B249" s="6" t="n">
        <x:v>53082</x:v>
      </x:c>
      <x:c r="C249" s="7" t="n">
        <x:f>G248</x:f>
        <x:v>146435.42</x:v>
      </x:c>
      <x:c r="D249" s="7" t="n">
        <x:f>IF(A249=$B$7,ROUND(C249+E249,2),MIN($B$8,ROUND(C249+E249,2)))</x:f>
        <x:v>2742.78</x:v>
      </x:c>
      <x:c r="E249" s="7" t="n">
        <x:f>ROUND(C249*$B$6/12,2)</x:f>
        <x:v>780.99</x:v>
      </x:c>
      <x:c r="F249" s="7" t="n">
        <x:f>ROUND(D249-E249,2)</x:f>
        <x:v>1961.79</x:v>
      </x:c>
      <x:c r="G249" s="7" t="n">
        <x:f>ROUND(C249-F249,2)</x:f>
        <x:v>144473.63</x:v>
      </x:c>
      <x:c r="H249" s="7" t="n">
        <x:f>ROUND(D249-E249-F249,2)</x:f>
        <x:v>0</x:v>
      </x:c>
      <x:c r="I249" s="1" t="str">
        <x:v>Projection</x:v>
      </x:c>
    </x:row>
    <x:row r="250" ht="21" customHeight="1">
      <x:c r="A250" s="1" t="n">
        <x:v>239</x:v>
      </x:c>
      <x:c r="B250" s="6" t="n">
        <x:v>53113</x:v>
      </x:c>
      <x:c r="C250" s="7" t="n">
        <x:f>G249</x:f>
        <x:v>144473.63</x:v>
      </x:c>
      <x:c r="D250" s="7" t="n">
        <x:f>IF(A250=$B$7,ROUND(C250+E250,2),MIN($B$8,ROUND(C250+E250,2)))</x:f>
        <x:v>2742.78</x:v>
      </x:c>
      <x:c r="E250" s="7" t="n">
        <x:f>ROUND(C250*$B$6/12,2)</x:f>
        <x:v>770.53</x:v>
      </x:c>
      <x:c r="F250" s="7" t="n">
        <x:f>ROUND(D250-E250,2)</x:f>
        <x:v>1972.25</x:v>
      </x:c>
      <x:c r="G250" s="7" t="n">
        <x:f>ROUND(C250-F250,2)</x:f>
        <x:v>142501.38</x:v>
      </x:c>
      <x:c r="H250" s="7" t="n">
        <x:f>ROUND(D250-E250-F250,2)</x:f>
        <x:v>0</x:v>
      </x:c>
      <x:c r="I250" s="1" t="str">
        <x:v>Projection</x:v>
      </x:c>
    </x:row>
    <x:row r="251" ht="21" customHeight="1">
      <x:c r="A251" s="1" t="n">
        <x:v>240</x:v>
      </x:c>
      <x:c r="B251" s="6" t="n">
        <x:v>53143</x:v>
      </x:c>
      <x:c r="C251" s="7" t="n">
        <x:f>G250</x:f>
        <x:v>142501.38</x:v>
      </x:c>
      <x:c r="D251" s="7" t="n">
        <x:f>IF(A251=$B$7,ROUND(C251+E251,2),MIN($B$8,ROUND(C251+E251,2)))</x:f>
        <x:v>2742.78</x:v>
      </x:c>
      <x:c r="E251" s="7" t="n">
        <x:f>ROUND(C251*$B$6/12,2)</x:f>
        <x:v>760.01</x:v>
      </x:c>
      <x:c r="F251" s="7" t="n">
        <x:f>ROUND(D251-E251,2)</x:f>
        <x:v>1982.77</x:v>
      </x:c>
      <x:c r="G251" s="7" t="n">
        <x:f>ROUND(C251-F251,2)</x:f>
        <x:v>140518.61</x:v>
      </x:c>
      <x:c r="H251" s="7" t="n">
        <x:f>ROUND(D251-E251-F251,2)</x:f>
        <x:v>0</x:v>
      </x:c>
      <x:c r="I251" s="1" t="str">
        <x:v>Projection</x:v>
      </x:c>
    </x:row>
    <x:row r="252" ht="21" customHeight="1">
      <x:c r="A252" s="1" t="n">
        <x:v>241</x:v>
      </x:c>
      <x:c r="B252" s="6" t="n">
        <x:v>53174</x:v>
      </x:c>
      <x:c r="C252" s="7" t="n">
        <x:f>G251</x:f>
        <x:v>140518.61</x:v>
      </x:c>
      <x:c r="D252" s="7" t="n">
        <x:f>IF(A252=$B$7,ROUND(C252+E252,2),MIN($B$8,ROUND(C252+E252,2)))</x:f>
        <x:v>2742.78</x:v>
      </x:c>
      <x:c r="E252" s="7" t="n">
        <x:f>ROUND(C252*$B$6/12,2)</x:f>
        <x:v>749.43</x:v>
      </x:c>
      <x:c r="F252" s="7" t="n">
        <x:f>ROUND(D252-E252,2)</x:f>
        <x:v>1993.35</x:v>
      </x:c>
      <x:c r="G252" s="7" t="n">
        <x:f>ROUND(C252-F252,2)</x:f>
        <x:v>138525.26</x:v>
      </x:c>
      <x:c r="H252" s="7" t="n">
        <x:f>ROUND(D252-E252-F252,2)</x:f>
        <x:v>0</x:v>
      </x:c>
      <x:c r="I252" s="1" t="str">
        <x:v>Projection</x:v>
      </x:c>
    </x:row>
    <x:row r="253" ht="21" customHeight="1">
      <x:c r="A253" s="1" t="n">
        <x:v>242</x:v>
      </x:c>
      <x:c r="B253" s="6" t="n">
        <x:v>53205</x:v>
      </x:c>
      <x:c r="C253" s="7" t="n">
        <x:f>G252</x:f>
        <x:v>138525.26</x:v>
      </x:c>
      <x:c r="D253" s="7" t="n">
        <x:f>IF(A253=$B$7,ROUND(C253+E253,2),MIN($B$8,ROUND(C253+E253,2)))</x:f>
        <x:v>2742.78</x:v>
      </x:c>
      <x:c r="E253" s="7" t="n">
        <x:f>ROUND(C253*$B$6/12,2)</x:f>
        <x:v>738.8</x:v>
      </x:c>
      <x:c r="F253" s="7" t="n">
        <x:f>ROUND(D253-E253,2)</x:f>
        <x:v>2003.98</x:v>
      </x:c>
      <x:c r="G253" s="7" t="n">
        <x:f>ROUND(C253-F253,2)</x:f>
        <x:v>136521.28</x:v>
      </x:c>
      <x:c r="H253" s="7" t="n">
        <x:f>ROUND(D253-E253-F253,2)</x:f>
        <x:v>0</x:v>
      </x:c>
      <x:c r="I253" s="1" t="str">
        <x:v>Projection</x:v>
      </x:c>
    </x:row>
    <x:row r="254" ht="21" customHeight="1">
      <x:c r="A254" s="1" t="n">
        <x:v>243</x:v>
      </x:c>
      <x:c r="B254" s="6" t="n">
        <x:v>53235</x:v>
      </x:c>
      <x:c r="C254" s="7" t="n">
        <x:f>G253</x:f>
        <x:v>136521.28</x:v>
      </x:c>
      <x:c r="D254" s="7" t="n">
        <x:f>IF(A254=$B$7,ROUND(C254+E254,2),MIN($B$8,ROUND(C254+E254,2)))</x:f>
        <x:v>2742.78</x:v>
      </x:c>
      <x:c r="E254" s="7" t="n">
        <x:f>ROUND(C254*$B$6/12,2)</x:f>
        <x:v>728.11</x:v>
      </x:c>
      <x:c r="F254" s="7" t="n">
        <x:f>ROUND(D254-E254,2)</x:f>
        <x:v>2014.67</x:v>
      </x:c>
      <x:c r="G254" s="7" t="n">
        <x:f>ROUND(C254-F254,2)</x:f>
        <x:v>134506.61</x:v>
      </x:c>
      <x:c r="H254" s="7" t="n">
        <x:f>ROUND(D254-E254-F254,2)</x:f>
        <x:v>0</x:v>
      </x:c>
      <x:c r="I254" s="1" t="str">
        <x:v>Projection</x:v>
      </x:c>
    </x:row>
    <x:row r="255" ht="21" customHeight="1">
      <x:c r="A255" s="1" t="n">
        <x:v>244</x:v>
      </x:c>
      <x:c r="B255" s="6" t="n">
        <x:v>53266</x:v>
      </x:c>
      <x:c r="C255" s="7" t="n">
        <x:f>G254</x:f>
        <x:v>134506.61</x:v>
      </x:c>
      <x:c r="D255" s="7" t="n">
        <x:f>IF(A255=$B$7,ROUND(C255+E255,2),MIN($B$8,ROUND(C255+E255,2)))</x:f>
        <x:v>2742.78</x:v>
      </x:c>
      <x:c r="E255" s="7" t="n">
        <x:f>ROUND(C255*$B$6/12,2)</x:f>
        <x:v>717.37</x:v>
      </x:c>
      <x:c r="F255" s="7" t="n">
        <x:f>ROUND(D255-E255,2)</x:f>
        <x:v>2025.41</x:v>
      </x:c>
      <x:c r="G255" s="7" t="n">
        <x:f>ROUND(C255-F255,2)</x:f>
        <x:v>132481.2</x:v>
      </x:c>
      <x:c r="H255" s="7" t="n">
        <x:f>ROUND(D255-E255-F255,2)</x:f>
        <x:v>0</x:v>
      </x:c>
      <x:c r="I255" s="1" t="str">
        <x:v>Projection</x:v>
      </x:c>
    </x:row>
    <x:row r="256" ht="21" customHeight="1">
      <x:c r="A256" s="1" t="n">
        <x:v>245</x:v>
      </x:c>
      <x:c r="B256" s="6" t="n">
        <x:v>53296</x:v>
      </x:c>
      <x:c r="C256" s="7" t="n">
        <x:f>G255</x:f>
        <x:v>132481.2</x:v>
      </x:c>
      <x:c r="D256" s="7" t="n">
        <x:f>IF(A256=$B$7,ROUND(C256+E256,2),MIN($B$8,ROUND(C256+E256,2)))</x:f>
        <x:v>2742.78</x:v>
      </x:c>
      <x:c r="E256" s="7" t="n">
        <x:f>ROUND(C256*$B$6/12,2)</x:f>
        <x:v>706.57</x:v>
      </x:c>
      <x:c r="F256" s="7" t="n">
        <x:f>ROUND(D256-E256,2)</x:f>
        <x:v>2036.21</x:v>
      </x:c>
      <x:c r="G256" s="7" t="n">
        <x:f>ROUND(C256-F256,2)</x:f>
        <x:v>130444.99</x:v>
      </x:c>
      <x:c r="H256" s="7" t="n">
        <x:f>ROUND(D256-E256-F256,2)</x:f>
        <x:v>0</x:v>
      </x:c>
      <x:c r="I256" s="1" t="str">
        <x:v>Projection</x:v>
      </x:c>
    </x:row>
    <x:row r="257" ht="21" customHeight="1">
      <x:c r="A257" s="1" t="n">
        <x:v>246</x:v>
      </x:c>
      <x:c r="B257" s="6" t="n">
        <x:v>53327</x:v>
      </x:c>
      <x:c r="C257" s="7" t="n">
        <x:f>G256</x:f>
        <x:v>130444.99</x:v>
      </x:c>
      <x:c r="D257" s="7" t="n">
        <x:f>IF(A257=$B$7,ROUND(C257+E257,2),MIN($B$8,ROUND(C257+E257,2)))</x:f>
        <x:v>2742.78</x:v>
      </x:c>
      <x:c r="E257" s="7" t="n">
        <x:f>ROUND(C257*$B$6/12,2)</x:f>
        <x:v>695.71</x:v>
      </x:c>
      <x:c r="F257" s="7" t="n">
        <x:f>ROUND(D257-E257,2)</x:f>
        <x:v>2047.07</x:v>
      </x:c>
      <x:c r="G257" s="7" t="n">
        <x:f>ROUND(C257-F257,2)</x:f>
        <x:v>128397.92</x:v>
      </x:c>
      <x:c r="H257" s="7" t="n">
        <x:f>ROUND(D257-E257-F257,2)</x:f>
        <x:v>0</x:v>
      </x:c>
      <x:c r="I257" s="1" t="str">
        <x:v>Projection</x:v>
      </x:c>
    </x:row>
    <x:row r="258" ht="21" customHeight="1">
      <x:c r="A258" s="1" t="n">
        <x:v>247</x:v>
      </x:c>
      <x:c r="B258" s="6" t="n">
        <x:v>53358</x:v>
      </x:c>
      <x:c r="C258" s="7" t="n">
        <x:f>G257</x:f>
        <x:v>128397.92</x:v>
      </x:c>
      <x:c r="D258" s="7" t="n">
        <x:f>IF(A258=$B$7,ROUND(C258+E258,2),MIN($B$8,ROUND(C258+E258,2)))</x:f>
        <x:v>2742.78</x:v>
      </x:c>
      <x:c r="E258" s="7" t="n">
        <x:f>ROUND(C258*$B$6/12,2)</x:f>
        <x:v>684.79</x:v>
      </x:c>
      <x:c r="F258" s="7" t="n">
        <x:f>ROUND(D258-E258,2)</x:f>
        <x:v>2057.99</x:v>
      </x:c>
      <x:c r="G258" s="7" t="n">
        <x:f>ROUND(C258-F258,2)</x:f>
        <x:v>126339.93</x:v>
      </x:c>
      <x:c r="H258" s="7" t="n">
        <x:f>ROUND(D258-E258-F258,2)</x:f>
        <x:v>0</x:v>
      </x:c>
      <x:c r="I258" s="1" t="str">
        <x:v>Projection</x:v>
      </x:c>
    </x:row>
    <x:row r="259" ht="21" customHeight="1">
      <x:c r="A259" s="1" t="n">
        <x:v>248</x:v>
      </x:c>
      <x:c r="B259" s="6" t="n">
        <x:v>53386</x:v>
      </x:c>
      <x:c r="C259" s="7" t="n">
        <x:f>G258</x:f>
        <x:v>126339.93</x:v>
      </x:c>
      <x:c r="D259" s="7" t="n">
        <x:f>IF(A259=$B$7,ROUND(C259+E259,2),MIN($B$8,ROUND(C259+E259,2)))</x:f>
        <x:v>2742.78</x:v>
      </x:c>
      <x:c r="E259" s="7" t="n">
        <x:f>ROUND(C259*$B$6/12,2)</x:f>
        <x:v>673.81</x:v>
      </x:c>
      <x:c r="F259" s="7" t="n">
        <x:f>ROUND(D259-E259,2)</x:f>
        <x:v>2068.97</x:v>
      </x:c>
      <x:c r="G259" s="7" t="n">
        <x:f>ROUND(C259-F259,2)</x:f>
        <x:v>124270.96</x:v>
      </x:c>
      <x:c r="H259" s="7" t="n">
        <x:f>ROUND(D259-E259-F259,2)</x:f>
        <x:v>0</x:v>
      </x:c>
      <x:c r="I259" s="1" t="str">
        <x:v>Projection</x:v>
      </x:c>
    </x:row>
    <x:row r="260" ht="21" customHeight="1">
      <x:c r="A260" s="1" t="n">
        <x:v>249</x:v>
      </x:c>
      <x:c r="B260" s="6" t="n">
        <x:v>53417</x:v>
      </x:c>
      <x:c r="C260" s="7" t="n">
        <x:f>G259</x:f>
        <x:v>124270.96</x:v>
      </x:c>
      <x:c r="D260" s="7" t="n">
        <x:f>IF(A260=$B$7,ROUND(C260+E260,2),MIN($B$8,ROUND(C260+E260,2)))</x:f>
        <x:v>2742.78</x:v>
      </x:c>
      <x:c r="E260" s="7" t="n">
        <x:f>ROUND(C260*$B$6/12,2)</x:f>
        <x:v>662.78</x:v>
      </x:c>
      <x:c r="F260" s="7" t="n">
        <x:f>ROUND(D260-E260,2)</x:f>
        <x:v>2080</x:v>
      </x:c>
      <x:c r="G260" s="7" t="n">
        <x:f>ROUND(C260-F260,2)</x:f>
        <x:v>122190.96</x:v>
      </x:c>
      <x:c r="H260" s="7" t="n">
        <x:f>ROUND(D260-E260-F260,2)</x:f>
        <x:v>0</x:v>
      </x:c>
      <x:c r="I260" s="1" t="str">
        <x:v>Projection</x:v>
      </x:c>
    </x:row>
    <x:row r="261" ht="21" customHeight="1">
      <x:c r="A261" s="1" t="n">
        <x:v>250</x:v>
      </x:c>
      <x:c r="B261" s="6" t="n">
        <x:v>53447</x:v>
      </x:c>
      <x:c r="C261" s="7" t="n">
        <x:f>G260</x:f>
        <x:v>122190.96</x:v>
      </x:c>
      <x:c r="D261" s="7" t="n">
        <x:f>IF(A261=$B$7,ROUND(C261+E261,2),MIN($B$8,ROUND(C261+E261,2)))</x:f>
        <x:v>2742.78</x:v>
      </x:c>
      <x:c r="E261" s="7" t="n">
        <x:f>ROUND(C261*$B$6/12,2)</x:f>
        <x:v>651.69</x:v>
      </x:c>
      <x:c r="F261" s="7" t="n">
        <x:f>ROUND(D261-E261,2)</x:f>
        <x:v>2091.09</x:v>
      </x:c>
      <x:c r="G261" s="7" t="n">
        <x:f>ROUND(C261-F261,2)</x:f>
        <x:v>120099.87</x:v>
      </x:c>
      <x:c r="H261" s="7" t="n">
        <x:f>ROUND(D261-E261-F261,2)</x:f>
        <x:v>0</x:v>
      </x:c>
      <x:c r="I261" s="1" t="str">
        <x:v>Projection</x:v>
      </x:c>
    </x:row>
    <x:row r="262" ht="21" customHeight="1">
      <x:c r="A262" s="1" t="n">
        <x:v>251</x:v>
      </x:c>
      <x:c r="B262" s="6" t="n">
        <x:v>53478</x:v>
      </x:c>
      <x:c r="C262" s="7" t="n">
        <x:f>G261</x:f>
        <x:v>120099.87</x:v>
      </x:c>
      <x:c r="D262" s="7" t="n">
        <x:f>IF(A262=$B$7,ROUND(C262+E262,2),MIN($B$8,ROUND(C262+E262,2)))</x:f>
        <x:v>2742.78</x:v>
      </x:c>
      <x:c r="E262" s="7" t="n">
        <x:f>ROUND(C262*$B$6/12,2)</x:f>
        <x:v>640.53</x:v>
      </x:c>
      <x:c r="F262" s="7" t="n">
        <x:f>ROUND(D262-E262,2)</x:f>
        <x:v>2102.25</x:v>
      </x:c>
      <x:c r="G262" s="7" t="n">
        <x:f>ROUND(C262-F262,2)</x:f>
        <x:v>117997.62</x:v>
      </x:c>
      <x:c r="H262" s="7" t="n">
        <x:f>ROUND(D262-E262-F262,2)</x:f>
        <x:v>0</x:v>
      </x:c>
      <x:c r="I262" s="1" t="str">
        <x:v>Projection</x:v>
      </x:c>
    </x:row>
    <x:row r="263" ht="21" customHeight="1">
      <x:c r="A263" s="1" t="n">
        <x:v>252</x:v>
      </x:c>
      <x:c r="B263" s="6" t="n">
        <x:v>53508</x:v>
      </x:c>
      <x:c r="C263" s="7" t="n">
        <x:f>G262</x:f>
        <x:v>117997.62</x:v>
      </x:c>
      <x:c r="D263" s="7" t="n">
        <x:f>IF(A263=$B$7,ROUND(C263+E263,2),MIN($B$8,ROUND(C263+E263,2)))</x:f>
        <x:v>2742.78</x:v>
      </x:c>
      <x:c r="E263" s="7" t="n">
        <x:f>ROUND(C263*$B$6/12,2)</x:f>
        <x:v>629.32</x:v>
      </x:c>
      <x:c r="F263" s="7" t="n">
        <x:f>ROUND(D263-E263,2)</x:f>
        <x:v>2113.46</x:v>
      </x:c>
      <x:c r="G263" s="7" t="n">
        <x:f>ROUND(C263-F263,2)</x:f>
        <x:v>115884.16</x:v>
      </x:c>
      <x:c r="H263" s="7" t="n">
        <x:f>ROUND(D263-E263-F263,2)</x:f>
        <x:v>0</x:v>
      </x:c>
      <x:c r="I263" s="1" t="str">
        <x:v>Projection</x:v>
      </x:c>
    </x:row>
    <x:row r="264" ht="21" customHeight="1">
      <x:c r="A264" s="1" t="n">
        <x:v>253</x:v>
      </x:c>
      <x:c r="B264" s="6" t="n">
        <x:v>53539</x:v>
      </x:c>
      <x:c r="C264" s="7" t="n">
        <x:f>G263</x:f>
        <x:v>115884.16</x:v>
      </x:c>
      <x:c r="D264" s="7" t="n">
        <x:f>IF(A264=$B$7,ROUND(C264+E264,2),MIN($B$8,ROUND(C264+E264,2)))</x:f>
        <x:v>2742.78</x:v>
      </x:c>
      <x:c r="E264" s="7" t="n">
        <x:f>ROUND(C264*$B$6/12,2)</x:f>
        <x:v>618.05</x:v>
      </x:c>
      <x:c r="F264" s="7" t="n">
        <x:f>ROUND(D264-E264,2)</x:f>
        <x:v>2124.73</x:v>
      </x:c>
      <x:c r="G264" s="7" t="n">
        <x:f>ROUND(C264-F264,2)</x:f>
        <x:v>113759.43</x:v>
      </x:c>
      <x:c r="H264" s="7" t="n">
        <x:f>ROUND(D264-E264-F264,2)</x:f>
        <x:v>0</x:v>
      </x:c>
      <x:c r="I264" s="1" t="str">
        <x:v>Projection</x:v>
      </x:c>
    </x:row>
    <x:row r="265" ht="21" customHeight="1">
      <x:c r="A265" s="1" t="n">
        <x:v>254</x:v>
      </x:c>
      <x:c r="B265" s="6" t="n">
        <x:v>53570</x:v>
      </x:c>
      <x:c r="C265" s="7" t="n">
        <x:f>G264</x:f>
        <x:v>113759.43</x:v>
      </x:c>
      <x:c r="D265" s="7" t="n">
        <x:f>IF(A265=$B$7,ROUND(C265+E265,2),MIN($B$8,ROUND(C265+E265,2)))</x:f>
        <x:v>2742.78</x:v>
      </x:c>
      <x:c r="E265" s="7" t="n">
        <x:f>ROUND(C265*$B$6/12,2)</x:f>
        <x:v>606.72</x:v>
      </x:c>
      <x:c r="F265" s="7" t="n">
        <x:f>ROUND(D265-E265,2)</x:f>
        <x:v>2136.06</x:v>
      </x:c>
      <x:c r="G265" s="7" t="n">
        <x:f>ROUND(C265-F265,2)</x:f>
        <x:v>111623.37</x:v>
      </x:c>
      <x:c r="H265" s="7" t="n">
        <x:f>ROUND(D265-E265-F265,2)</x:f>
        <x:v>0</x:v>
      </x:c>
      <x:c r="I265" s="1" t="str">
        <x:v>Projection</x:v>
      </x:c>
    </x:row>
    <x:row r="266" ht="21" customHeight="1">
      <x:c r="A266" s="1" t="n">
        <x:v>255</x:v>
      </x:c>
      <x:c r="B266" s="6" t="n">
        <x:v>53600</x:v>
      </x:c>
      <x:c r="C266" s="7" t="n">
        <x:f>G265</x:f>
        <x:v>111623.37</x:v>
      </x:c>
      <x:c r="D266" s="7" t="n">
        <x:f>IF(A266=$B$7,ROUND(C266+E266,2),MIN($B$8,ROUND(C266+E266,2)))</x:f>
        <x:v>2742.78</x:v>
      </x:c>
      <x:c r="E266" s="7" t="n">
        <x:f>ROUND(C266*$B$6/12,2)</x:f>
        <x:v>595.32</x:v>
      </x:c>
      <x:c r="F266" s="7" t="n">
        <x:f>ROUND(D266-E266,2)</x:f>
        <x:v>2147.46</x:v>
      </x:c>
      <x:c r="G266" s="7" t="n">
        <x:f>ROUND(C266-F266,2)</x:f>
        <x:v>109475.91</x:v>
      </x:c>
      <x:c r="H266" s="7" t="n">
        <x:f>ROUND(D266-E266-F266,2)</x:f>
        <x:v>0</x:v>
      </x:c>
      <x:c r="I266" s="1" t="str">
        <x:v>Projection</x:v>
      </x:c>
    </x:row>
    <x:row r="267" ht="21" customHeight="1">
      <x:c r="A267" s="1" t="n">
        <x:v>256</x:v>
      </x:c>
      <x:c r="B267" s="6" t="n">
        <x:v>53631</x:v>
      </x:c>
      <x:c r="C267" s="7" t="n">
        <x:f>G266</x:f>
        <x:v>109475.91</x:v>
      </x:c>
      <x:c r="D267" s="7" t="n">
        <x:f>IF(A267=$B$7,ROUND(C267+E267,2),MIN($B$8,ROUND(C267+E267,2)))</x:f>
        <x:v>2742.78</x:v>
      </x:c>
      <x:c r="E267" s="7" t="n">
        <x:f>ROUND(C267*$B$6/12,2)</x:f>
        <x:v>583.87</x:v>
      </x:c>
      <x:c r="F267" s="7" t="n">
        <x:f>ROUND(D267-E267,2)</x:f>
        <x:v>2158.91</x:v>
      </x:c>
      <x:c r="G267" s="7" t="n">
        <x:f>ROUND(C267-F267,2)</x:f>
        <x:v>107317</x:v>
      </x:c>
      <x:c r="H267" s="7" t="n">
        <x:f>ROUND(D267-E267-F267,2)</x:f>
        <x:v>0</x:v>
      </x:c>
      <x:c r="I267" s="1" t="str">
        <x:v>Projection</x:v>
      </x:c>
    </x:row>
    <x:row r="268" ht="21" customHeight="1">
      <x:c r="A268" s="1" t="n">
        <x:v>257</x:v>
      </x:c>
      <x:c r="B268" s="6" t="n">
        <x:v>53661</x:v>
      </x:c>
      <x:c r="C268" s="7" t="n">
        <x:f>G267</x:f>
        <x:v>107317</x:v>
      </x:c>
      <x:c r="D268" s="7" t="n">
        <x:f>IF(A268=$B$7,ROUND(C268+E268,2),MIN($B$8,ROUND(C268+E268,2)))</x:f>
        <x:v>2742.78</x:v>
      </x:c>
      <x:c r="E268" s="7" t="n">
        <x:f>ROUND(C268*$B$6/12,2)</x:f>
        <x:v>572.36</x:v>
      </x:c>
      <x:c r="F268" s="7" t="n">
        <x:f>ROUND(D268-E268,2)</x:f>
        <x:v>2170.42</x:v>
      </x:c>
      <x:c r="G268" s="7" t="n">
        <x:f>ROUND(C268-F268,2)</x:f>
        <x:v>105146.58</x:v>
      </x:c>
      <x:c r="H268" s="7" t="n">
        <x:f>ROUND(D268-E268-F268,2)</x:f>
        <x:v>0</x:v>
      </x:c>
      <x:c r="I268" s="1" t="str">
        <x:v>Projection</x:v>
      </x:c>
    </x:row>
    <x:row r="269" ht="21" customHeight="1">
      <x:c r="A269" s="1" t="n">
        <x:v>258</x:v>
      </x:c>
      <x:c r="B269" s="6" t="n">
        <x:v>53692</x:v>
      </x:c>
      <x:c r="C269" s="7" t="n">
        <x:f>G268</x:f>
        <x:v>105146.58</x:v>
      </x:c>
      <x:c r="D269" s="7" t="n">
        <x:f>IF(A269=$B$7,ROUND(C269+E269,2),MIN($B$8,ROUND(C269+E269,2)))</x:f>
        <x:v>2742.78</x:v>
      </x:c>
      <x:c r="E269" s="7" t="n">
        <x:f>ROUND(C269*$B$6/12,2)</x:f>
        <x:v>560.78</x:v>
      </x:c>
      <x:c r="F269" s="7" t="n">
        <x:f>ROUND(D269-E269,2)</x:f>
        <x:v>2182</x:v>
      </x:c>
      <x:c r="G269" s="7" t="n">
        <x:f>ROUND(C269-F269,2)</x:f>
        <x:v>102964.58</x:v>
      </x:c>
      <x:c r="H269" s="7" t="n">
        <x:f>ROUND(D269-E269-F269,2)</x:f>
        <x:v>0</x:v>
      </x:c>
      <x:c r="I269" s="1" t="str">
        <x:v>Projection</x:v>
      </x:c>
    </x:row>
    <x:row r="270" ht="21" customHeight="1">
      <x:c r="A270" s="1" t="n">
        <x:v>259</x:v>
      </x:c>
      <x:c r="B270" s="6" t="n">
        <x:v>53723</x:v>
      </x:c>
      <x:c r="C270" s="7" t="n">
        <x:f>G269</x:f>
        <x:v>102964.58</x:v>
      </x:c>
      <x:c r="D270" s="7" t="n">
        <x:f>IF(A270=$B$7,ROUND(C270+E270,2),MIN($B$8,ROUND(C270+E270,2)))</x:f>
        <x:v>2742.78</x:v>
      </x:c>
      <x:c r="E270" s="7" t="n">
        <x:f>ROUND(C270*$B$6/12,2)</x:f>
        <x:v>549.14</x:v>
      </x:c>
      <x:c r="F270" s="7" t="n">
        <x:f>ROUND(D270-E270,2)</x:f>
        <x:v>2193.64</x:v>
      </x:c>
      <x:c r="G270" s="7" t="n">
        <x:f>ROUND(C270-F270,2)</x:f>
        <x:v>100770.94</x:v>
      </x:c>
      <x:c r="H270" s="7" t="n">
        <x:f>ROUND(D270-E270-F270,2)</x:f>
        <x:v>0</x:v>
      </x:c>
      <x:c r="I270" s="1" t="str">
        <x:v>Projection</x:v>
      </x:c>
    </x:row>
    <x:row r="271" ht="21" customHeight="1">
      <x:c r="A271" s="1" t="n">
        <x:v>260</x:v>
      </x:c>
      <x:c r="B271" s="6" t="n">
        <x:v>53751</x:v>
      </x:c>
      <x:c r="C271" s="7" t="n">
        <x:f>G270</x:f>
        <x:v>100770.94</x:v>
      </x:c>
      <x:c r="D271" s="7" t="n">
        <x:f>IF(A271=$B$7,ROUND(C271+E271,2),MIN($B$8,ROUND(C271+E271,2)))</x:f>
        <x:v>2742.78</x:v>
      </x:c>
      <x:c r="E271" s="7" t="n">
        <x:f>ROUND(C271*$B$6/12,2)</x:f>
        <x:v>537.45</x:v>
      </x:c>
      <x:c r="F271" s="7" t="n">
        <x:f>ROUND(D271-E271,2)</x:f>
        <x:v>2205.33</x:v>
      </x:c>
      <x:c r="G271" s="7" t="n">
        <x:f>ROUND(C271-F271,2)</x:f>
        <x:v>98565.61</x:v>
      </x:c>
      <x:c r="H271" s="7" t="n">
        <x:f>ROUND(D271-E271-F271,2)</x:f>
        <x:v>0</x:v>
      </x:c>
      <x:c r="I271" s="1" t="str">
        <x:v>Projection</x:v>
      </x:c>
    </x:row>
    <x:row r="272" ht="21" customHeight="1">
      <x:c r="A272" s="1" t="n">
        <x:v>261</x:v>
      </x:c>
      <x:c r="B272" s="6" t="n">
        <x:v>53782</x:v>
      </x:c>
      <x:c r="C272" s="7" t="n">
        <x:f>G271</x:f>
        <x:v>98565.61</x:v>
      </x:c>
      <x:c r="D272" s="7" t="n">
        <x:f>IF(A272=$B$7,ROUND(C272+E272,2),MIN($B$8,ROUND(C272+E272,2)))</x:f>
        <x:v>2742.78</x:v>
      </x:c>
      <x:c r="E272" s="7" t="n">
        <x:f>ROUND(C272*$B$6/12,2)</x:f>
        <x:v>525.68</x:v>
      </x:c>
      <x:c r="F272" s="7" t="n">
        <x:f>ROUND(D272-E272,2)</x:f>
        <x:v>2217.1</x:v>
      </x:c>
      <x:c r="G272" s="7" t="n">
        <x:f>ROUND(C272-F272,2)</x:f>
        <x:v>96348.51</x:v>
      </x:c>
      <x:c r="H272" s="7" t="n">
        <x:f>ROUND(D272-E272-F272,2)</x:f>
        <x:v>0</x:v>
      </x:c>
      <x:c r="I272" s="1" t="str">
        <x:v>Projection</x:v>
      </x:c>
    </x:row>
    <x:row r="273" ht="21" customHeight="1">
      <x:c r="A273" s="1" t="n">
        <x:v>262</x:v>
      </x:c>
      <x:c r="B273" s="6" t="n">
        <x:v>53812</x:v>
      </x:c>
      <x:c r="C273" s="7" t="n">
        <x:f>G272</x:f>
        <x:v>96348.51</x:v>
      </x:c>
      <x:c r="D273" s="7" t="n">
        <x:f>IF(A273=$B$7,ROUND(C273+E273,2),MIN($B$8,ROUND(C273+E273,2)))</x:f>
        <x:v>2742.78</x:v>
      </x:c>
      <x:c r="E273" s="7" t="n">
        <x:f>ROUND(C273*$B$6/12,2)</x:f>
        <x:v>513.86</x:v>
      </x:c>
      <x:c r="F273" s="7" t="n">
        <x:f>ROUND(D273-E273,2)</x:f>
        <x:v>2228.92</x:v>
      </x:c>
      <x:c r="G273" s="7" t="n">
        <x:f>ROUND(C273-F273,2)</x:f>
        <x:v>94119.59</x:v>
      </x:c>
      <x:c r="H273" s="7" t="n">
        <x:f>ROUND(D273-E273-F273,2)</x:f>
        <x:v>0</x:v>
      </x:c>
      <x:c r="I273" s="1" t="str">
        <x:v>Projection</x:v>
      </x:c>
    </x:row>
    <x:row r="274" ht="21" customHeight="1">
      <x:c r="A274" s="1" t="n">
        <x:v>263</x:v>
      </x:c>
      <x:c r="B274" s="6" t="n">
        <x:v>53843</x:v>
      </x:c>
      <x:c r="C274" s="7" t="n">
        <x:f>G273</x:f>
        <x:v>94119.59</x:v>
      </x:c>
      <x:c r="D274" s="7" t="n">
        <x:f>IF(A274=$B$7,ROUND(C274+E274,2),MIN($B$8,ROUND(C274+E274,2)))</x:f>
        <x:v>2742.78</x:v>
      </x:c>
      <x:c r="E274" s="7" t="n">
        <x:f>ROUND(C274*$B$6/12,2)</x:f>
        <x:v>501.97</x:v>
      </x:c>
      <x:c r="F274" s="7" t="n">
        <x:f>ROUND(D274-E274,2)</x:f>
        <x:v>2240.81</x:v>
      </x:c>
      <x:c r="G274" s="7" t="n">
        <x:f>ROUND(C274-F274,2)</x:f>
        <x:v>91878.78</x:v>
      </x:c>
      <x:c r="H274" s="7" t="n">
        <x:f>ROUND(D274-E274-F274,2)</x:f>
        <x:v>0</x:v>
      </x:c>
      <x:c r="I274" s="1" t="str">
        <x:v>Projection</x:v>
      </x:c>
    </x:row>
    <x:row r="275" ht="21" customHeight="1">
      <x:c r="A275" s="1" t="n">
        <x:v>264</x:v>
      </x:c>
      <x:c r="B275" s="6" t="n">
        <x:v>53873</x:v>
      </x:c>
      <x:c r="C275" s="7" t="n">
        <x:f>G274</x:f>
        <x:v>91878.78</x:v>
      </x:c>
      <x:c r="D275" s="7" t="n">
        <x:f>IF(A275=$B$7,ROUND(C275+E275,2),MIN($B$8,ROUND(C275+E275,2)))</x:f>
        <x:v>2742.78</x:v>
      </x:c>
      <x:c r="E275" s="7" t="n">
        <x:f>ROUND(C275*$B$6/12,2)</x:f>
        <x:v>490.02</x:v>
      </x:c>
      <x:c r="F275" s="7" t="n">
        <x:f>ROUND(D275-E275,2)</x:f>
        <x:v>2252.76</x:v>
      </x:c>
      <x:c r="G275" s="7" t="n">
        <x:f>ROUND(C275-F275,2)</x:f>
        <x:v>89626.02</x:v>
      </x:c>
      <x:c r="H275" s="7" t="n">
        <x:f>ROUND(D275-E275-F275,2)</x:f>
        <x:v>0</x:v>
      </x:c>
      <x:c r="I275" s="1" t="str">
        <x:v>Projection</x:v>
      </x:c>
    </x:row>
    <x:row r="276" ht="21" customHeight="1">
      <x:c r="A276" s="1" t="n">
        <x:v>265</x:v>
      </x:c>
      <x:c r="B276" s="6" t="n">
        <x:v>53904</x:v>
      </x:c>
      <x:c r="C276" s="7" t="n">
        <x:f>G275</x:f>
        <x:v>89626.02</x:v>
      </x:c>
      <x:c r="D276" s="7" t="n">
        <x:f>IF(A276=$B$7,ROUND(C276+E276,2),MIN($B$8,ROUND(C276+E276,2)))</x:f>
        <x:v>2742.78</x:v>
      </x:c>
      <x:c r="E276" s="7" t="n">
        <x:f>ROUND(C276*$B$6/12,2)</x:f>
        <x:v>478.01</x:v>
      </x:c>
      <x:c r="F276" s="7" t="n">
        <x:f>ROUND(D276-E276,2)</x:f>
        <x:v>2264.77</x:v>
      </x:c>
      <x:c r="G276" s="7" t="n">
        <x:f>ROUND(C276-F276,2)</x:f>
        <x:v>87361.25</x:v>
      </x:c>
      <x:c r="H276" s="7" t="n">
        <x:f>ROUND(D276-E276-F276,2)</x:f>
        <x:v>0</x:v>
      </x:c>
      <x:c r="I276" s="1" t="str">
        <x:v>Projection</x:v>
      </x:c>
    </x:row>
    <x:row r="277" ht="21" customHeight="1">
      <x:c r="A277" s="1" t="n">
        <x:v>266</x:v>
      </x:c>
      <x:c r="B277" s="6" t="n">
        <x:v>53935</x:v>
      </x:c>
      <x:c r="C277" s="7" t="n">
        <x:f>G276</x:f>
        <x:v>87361.25</x:v>
      </x:c>
      <x:c r="D277" s="7" t="n">
        <x:f>IF(A277=$B$7,ROUND(C277+E277,2),MIN($B$8,ROUND(C277+E277,2)))</x:f>
        <x:v>2742.78</x:v>
      </x:c>
      <x:c r="E277" s="7" t="n">
        <x:f>ROUND(C277*$B$6/12,2)</x:f>
        <x:v>465.93</x:v>
      </x:c>
      <x:c r="F277" s="7" t="n">
        <x:f>ROUND(D277-E277,2)</x:f>
        <x:v>2276.85</x:v>
      </x:c>
      <x:c r="G277" s="7" t="n">
        <x:f>ROUND(C277-F277,2)</x:f>
        <x:v>85084.4</x:v>
      </x:c>
      <x:c r="H277" s="7" t="n">
        <x:f>ROUND(D277-E277-F277,2)</x:f>
        <x:v>0</x:v>
      </x:c>
      <x:c r="I277" s="1" t="str">
        <x:v>Projection</x:v>
      </x:c>
    </x:row>
    <x:row r="278" ht="21" customHeight="1">
      <x:c r="A278" s="1" t="n">
        <x:v>267</x:v>
      </x:c>
      <x:c r="B278" s="6" t="n">
        <x:v>53965</x:v>
      </x:c>
      <x:c r="C278" s="7" t="n">
        <x:f>G277</x:f>
        <x:v>85084.4</x:v>
      </x:c>
      <x:c r="D278" s="7" t="n">
        <x:f>IF(A278=$B$7,ROUND(C278+E278,2),MIN($B$8,ROUND(C278+E278,2)))</x:f>
        <x:v>2742.78</x:v>
      </x:c>
      <x:c r="E278" s="7" t="n">
        <x:f>ROUND(C278*$B$6/12,2)</x:f>
        <x:v>453.78</x:v>
      </x:c>
      <x:c r="F278" s="7" t="n">
        <x:f>ROUND(D278-E278,2)</x:f>
        <x:v>2289</x:v>
      </x:c>
      <x:c r="G278" s="7" t="n">
        <x:f>ROUND(C278-F278,2)</x:f>
        <x:v>82795.4</x:v>
      </x:c>
      <x:c r="H278" s="7" t="n">
        <x:f>ROUND(D278-E278-F278,2)</x:f>
        <x:v>0</x:v>
      </x:c>
      <x:c r="I278" s="1" t="str">
        <x:v>Projection</x:v>
      </x:c>
    </x:row>
    <x:row r="279" ht="21" customHeight="1">
      <x:c r="A279" s="1" t="n">
        <x:v>268</x:v>
      </x:c>
      <x:c r="B279" s="6" t="n">
        <x:v>53996</x:v>
      </x:c>
      <x:c r="C279" s="7" t="n">
        <x:f>G278</x:f>
        <x:v>82795.4</x:v>
      </x:c>
      <x:c r="D279" s="7" t="n">
        <x:f>IF(A279=$B$7,ROUND(C279+E279,2),MIN($B$8,ROUND(C279+E279,2)))</x:f>
        <x:v>2742.78</x:v>
      </x:c>
      <x:c r="E279" s="7" t="n">
        <x:f>ROUND(C279*$B$6/12,2)</x:f>
        <x:v>441.58</x:v>
      </x:c>
      <x:c r="F279" s="7" t="n">
        <x:f>ROUND(D279-E279,2)</x:f>
        <x:v>2301.2</x:v>
      </x:c>
      <x:c r="G279" s="7" t="n">
        <x:f>ROUND(C279-F279,2)</x:f>
        <x:v>80494.2</x:v>
      </x:c>
      <x:c r="H279" s="7" t="n">
        <x:f>ROUND(D279-E279-F279,2)</x:f>
        <x:v>0</x:v>
      </x:c>
      <x:c r="I279" s="1" t="str">
        <x:v>Projection</x:v>
      </x:c>
    </x:row>
    <x:row r="280" ht="21" customHeight="1">
      <x:c r="A280" s="1" t="n">
        <x:v>269</x:v>
      </x:c>
      <x:c r="B280" s="6" t="n">
        <x:v>54026</x:v>
      </x:c>
      <x:c r="C280" s="7" t="n">
        <x:f>G279</x:f>
        <x:v>80494.2</x:v>
      </x:c>
      <x:c r="D280" s="7" t="n">
        <x:f>IF(A280=$B$7,ROUND(C280+E280,2),MIN($B$8,ROUND(C280+E280,2)))</x:f>
        <x:v>2742.78</x:v>
      </x:c>
      <x:c r="E280" s="7" t="n">
        <x:f>ROUND(C280*$B$6/12,2)</x:f>
        <x:v>429.3</x:v>
      </x:c>
      <x:c r="F280" s="7" t="n">
        <x:f>ROUND(D280-E280,2)</x:f>
        <x:v>2313.48</x:v>
      </x:c>
      <x:c r="G280" s="7" t="n">
        <x:f>ROUND(C280-F280,2)</x:f>
        <x:v>78180.72</x:v>
      </x:c>
      <x:c r="H280" s="7" t="n">
        <x:f>ROUND(D280-E280-F280,2)</x:f>
        <x:v>0</x:v>
      </x:c>
      <x:c r="I280" s="1" t="str">
        <x:v>Projection</x:v>
      </x:c>
    </x:row>
    <x:row r="281" ht="21" customHeight="1">
      <x:c r="A281" s="1" t="n">
        <x:v>270</x:v>
      </x:c>
      <x:c r="B281" s="6" t="n">
        <x:v>54057</x:v>
      </x:c>
      <x:c r="C281" s="7" t="n">
        <x:f>G280</x:f>
        <x:v>78180.72</x:v>
      </x:c>
      <x:c r="D281" s="7" t="n">
        <x:f>IF(A281=$B$7,ROUND(C281+E281,2),MIN($B$8,ROUND(C281+E281,2)))</x:f>
        <x:v>2742.78</x:v>
      </x:c>
      <x:c r="E281" s="7" t="n">
        <x:f>ROUND(C281*$B$6/12,2)</x:f>
        <x:v>416.96</x:v>
      </x:c>
      <x:c r="F281" s="7" t="n">
        <x:f>ROUND(D281-E281,2)</x:f>
        <x:v>2325.82</x:v>
      </x:c>
      <x:c r="G281" s="7" t="n">
        <x:f>ROUND(C281-F281,2)</x:f>
        <x:v>75854.9</x:v>
      </x:c>
      <x:c r="H281" s="7" t="n">
        <x:f>ROUND(D281-E281-F281,2)</x:f>
        <x:v>0</x:v>
      </x:c>
      <x:c r="I281" s="1" t="str">
        <x:v>Projection</x:v>
      </x:c>
    </x:row>
    <x:row r="282" ht="21" customHeight="1">
      <x:c r="A282" s="1" t="n">
        <x:v>271</x:v>
      </x:c>
      <x:c r="B282" s="6" t="n">
        <x:v>54088</x:v>
      </x:c>
      <x:c r="C282" s="7" t="n">
        <x:f>G281</x:f>
        <x:v>75854.9</x:v>
      </x:c>
      <x:c r="D282" s="7" t="n">
        <x:f>IF(A282=$B$7,ROUND(C282+E282,2),MIN($B$8,ROUND(C282+E282,2)))</x:f>
        <x:v>2742.78</x:v>
      </x:c>
      <x:c r="E282" s="7" t="n">
        <x:f>ROUND(C282*$B$6/12,2)</x:f>
        <x:v>404.56</x:v>
      </x:c>
      <x:c r="F282" s="7" t="n">
        <x:f>ROUND(D282-E282,2)</x:f>
        <x:v>2338.22</x:v>
      </x:c>
      <x:c r="G282" s="7" t="n">
        <x:f>ROUND(C282-F282,2)</x:f>
        <x:v>73516.68</x:v>
      </x:c>
      <x:c r="H282" s="7" t="n">
        <x:f>ROUND(D282-E282-F282,2)</x:f>
        <x:v>0</x:v>
      </x:c>
      <x:c r="I282" s="1" t="str">
        <x:v>Projection</x:v>
      </x:c>
    </x:row>
    <x:row r="283" ht="21" customHeight="1">
      <x:c r="A283" s="1" t="n">
        <x:v>272</x:v>
      </x:c>
      <x:c r="B283" s="6" t="n">
        <x:v>54117</x:v>
      </x:c>
      <x:c r="C283" s="7" t="n">
        <x:f>G282</x:f>
        <x:v>73516.68</x:v>
      </x:c>
      <x:c r="D283" s="7" t="n">
        <x:f>IF(A283=$B$7,ROUND(C283+E283,2),MIN($B$8,ROUND(C283+E283,2)))</x:f>
        <x:v>2742.78</x:v>
      </x:c>
      <x:c r="E283" s="7" t="n">
        <x:f>ROUND(C283*$B$6/12,2)</x:f>
        <x:v>392.09</x:v>
      </x:c>
      <x:c r="F283" s="7" t="n">
        <x:f>ROUND(D283-E283,2)</x:f>
        <x:v>2350.69</x:v>
      </x:c>
      <x:c r="G283" s="7" t="n">
        <x:f>ROUND(C283-F283,2)</x:f>
        <x:v>71165.99</x:v>
      </x:c>
      <x:c r="H283" s="7" t="n">
        <x:f>ROUND(D283-E283-F283,2)</x:f>
        <x:v>0</x:v>
      </x:c>
      <x:c r="I283" s="1" t="str">
        <x:v>Projection</x:v>
      </x:c>
    </x:row>
    <x:row r="284" ht="21" customHeight="1">
      <x:c r="A284" s="1" t="n">
        <x:v>273</x:v>
      </x:c>
      <x:c r="B284" s="6" t="n">
        <x:v>54148</x:v>
      </x:c>
      <x:c r="C284" s="7" t="n">
        <x:f>G283</x:f>
        <x:v>71165.99</x:v>
      </x:c>
      <x:c r="D284" s="7" t="n">
        <x:f>IF(A284=$B$7,ROUND(C284+E284,2),MIN($B$8,ROUND(C284+E284,2)))</x:f>
        <x:v>2742.78</x:v>
      </x:c>
      <x:c r="E284" s="7" t="n">
        <x:f>ROUND(C284*$B$6/12,2)</x:f>
        <x:v>379.55</x:v>
      </x:c>
      <x:c r="F284" s="7" t="n">
        <x:f>ROUND(D284-E284,2)</x:f>
        <x:v>2363.23</x:v>
      </x:c>
      <x:c r="G284" s="7" t="n">
        <x:f>ROUND(C284-F284,2)</x:f>
        <x:v>68802.76</x:v>
      </x:c>
      <x:c r="H284" s="7" t="n">
        <x:f>ROUND(D284-E284-F284,2)</x:f>
        <x:v>0</x:v>
      </x:c>
      <x:c r="I284" s="1" t="str">
        <x:v>Projection</x:v>
      </x:c>
    </x:row>
    <x:row r="285" ht="21" customHeight="1">
      <x:c r="A285" s="1" t="n">
        <x:v>274</x:v>
      </x:c>
      <x:c r="B285" s="6" t="n">
        <x:v>54178</x:v>
      </x:c>
      <x:c r="C285" s="7" t="n">
        <x:f>G284</x:f>
        <x:v>68802.76</x:v>
      </x:c>
      <x:c r="D285" s="7" t="n">
        <x:f>IF(A285=$B$7,ROUND(C285+E285,2),MIN($B$8,ROUND(C285+E285,2)))</x:f>
        <x:v>2742.78</x:v>
      </x:c>
      <x:c r="E285" s="7" t="n">
        <x:f>ROUND(C285*$B$6/12,2)</x:f>
        <x:v>366.95</x:v>
      </x:c>
      <x:c r="F285" s="7" t="n">
        <x:f>ROUND(D285-E285,2)</x:f>
        <x:v>2375.83</x:v>
      </x:c>
      <x:c r="G285" s="7" t="n">
        <x:f>ROUND(C285-F285,2)</x:f>
        <x:v>66426.93</x:v>
      </x:c>
      <x:c r="H285" s="7" t="n">
        <x:f>ROUND(D285-E285-F285,2)</x:f>
        <x:v>0</x:v>
      </x:c>
      <x:c r="I285" s="1" t="str">
        <x:v>Projection</x:v>
      </x:c>
    </x:row>
    <x:row r="286" ht="21" customHeight="1">
      <x:c r="A286" s="1" t="n">
        <x:v>275</x:v>
      </x:c>
      <x:c r="B286" s="6" t="n">
        <x:v>54209</x:v>
      </x:c>
      <x:c r="C286" s="7" t="n">
        <x:f>G285</x:f>
        <x:v>66426.93</x:v>
      </x:c>
      <x:c r="D286" s="7" t="n">
        <x:f>IF(A286=$B$7,ROUND(C286+E286,2),MIN($B$8,ROUND(C286+E286,2)))</x:f>
        <x:v>2742.78</x:v>
      </x:c>
      <x:c r="E286" s="7" t="n">
        <x:f>ROUND(C286*$B$6/12,2)</x:f>
        <x:v>354.28</x:v>
      </x:c>
      <x:c r="F286" s="7" t="n">
        <x:f>ROUND(D286-E286,2)</x:f>
        <x:v>2388.5</x:v>
      </x:c>
      <x:c r="G286" s="7" t="n">
        <x:f>ROUND(C286-F286,2)</x:f>
        <x:v>64038.43</x:v>
      </x:c>
      <x:c r="H286" s="7" t="n">
        <x:f>ROUND(D286-E286-F286,2)</x:f>
        <x:v>0</x:v>
      </x:c>
      <x:c r="I286" s="1" t="str">
        <x:v>Projection</x:v>
      </x:c>
    </x:row>
    <x:row r="287" ht="21" customHeight="1">
      <x:c r="A287" s="1" t="n">
        <x:v>276</x:v>
      </x:c>
      <x:c r="B287" s="6" t="n">
        <x:v>54239</x:v>
      </x:c>
      <x:c r="C287" s="7" t="n">
        <x:f>G286</x:f>
        <x:v>64038.43</x:v>
      </x:c>
      <x:c r="D287" s="7" t="n">
        <x:f>IF(A287=$B$7,ROUND(C287+E287,2),MIN($B$8,ROUND(C287+E287,2)))</x:f>
        <x:v>2742.78</x:v>
      </x:c>
      <x:c r="E287" s="7" t="n">
        <x:f>ROUND(C287*$B$6/12,2)</x:f>
        <x:v>341.54</x:v>
      </x:c>
      <x:c r="F287" s="7" t="n">
        <x:f>ROUND(D287-E287,2)</x:f>
        <x:v>2401.24</x:v>
      </x:c>
      <x:c r="G287" s="7" t="n">
        <x:f>ROUND(C287-F287,2)</x:f>
        <x:v>61637.19</x:v>
      </x:c>
      <x:c r="H287" s="7" t="n">
        <x:f>ROUND(D287-E287-F287,2)</x:f>
        <x:v>0</x:v>
      </x:c>
      <x:c r="I287" s="1" t="str">
        <x:v>Projection</x:v>
      </x:c>
    </x:row>
    <x:row r="288" ht="21" customHeight="1">
      <x:c r="A288" s="1" t="n">
        <x:v>277</x:v>
      </x:c>
      <x:c r="B288" s="6" t="n">
        <x:v>54270</x:v>
      </x:c>
      <x:c r="C288" s="7" t="n">
        <x:f>G287</x:f>
        <x:v>61637.19</x:v>
      </x:c>
      <x:c r="D288" s="7" t="n">
        <x:f>IF(A288=$B$7,ROUND(C288+E288,2),MIN($B$8,ROUND(C288+E288,2)))</x:f>
        <x:v>2742.78</x:v>
      </x:c>
      <x:c r="E288" s="7" t="n">
        <x:f>ROUND(C288*$B$6/12,2)</x:f>
        <x:v>328.73</x:v>
      </x:c>
      <x:c r="F288" s="7" t="n">
        <x:f>ROUND(D288-E288,2)</x:f>
        <x:v>2414.05</x:v>
      </x:c>
      <x:c r="G288" s="7" t="n">
        <x:f>ROUND(C288-F288,2)</x:f>
        <x:v>59223.14</x:v>
      </x:c>
      <x:c r="H288" s="7" t="n">
        <x:f>ROUND(D288-E288-F288,2)</x:f>
        <x:v>0</x:v>
      </x:c>
      <x:c r="I288" s="1" t="str">
        <x:v>Projection</x:v>
      </x:c>
    </x:row>
    <x:row r="289" ht="21" customHeight="1">
      <x:c r="A289" s="1" t="n">
        <x:v>278</x:v>
      </x:c>
      <x:c r="B289" s="6" t="n">
        <x:v>54301</x:v>
      </x:c>
      <x:c r="C289" s="7" t="n">
        <x:f>G288</x:f>
        <x:v>59223.14</x:v>
      </x:c>
      <x:c r="D289" s="7" t="n">
        <x:f>IF(A289=$B$7,ROUND(C289+E289,2),MIN($B$8,ROUND(C289+E289,2)))</x:f>
        <x:v>2742.78</x:v>
      </x:c>
      <x:c r="E289" s="7" t="n">
        <x:f>ROUND(C289*$B$6/12,2)</x:f>
        <x:v>315.86</x:v>
      </x:c>
      <x:c r="F289" s="7" t="n">
        <x:f>ROUND(D289-E289,2)</x:f>
        <x:v>2426.92</x:v>
      </x:c>
      <x:c r="G289" s="7" t="n">
        <x:f>ROUND(C289-F289,2)</x:f>
        <x:v>56796.22</x:v>
      </x:c>
      <x:c r="H289" s="7" t="n">
        <x:f>ROUND(D289-E289-F289,2)</x:f>
        <x:v>0</x:v>
      </x:c>
      <x:c r="I289" s="1" t="str">
        <x:v>Projection</x:v>
      </x:c>
    </x:row>
    <x:row r="290" ht="21" customHeight="1">
      <x:c r="A290" s="1" t="n">
        <x:v>279</x:v>
      </x:c>
      <x:c r="B290" s="6" t="n">
        <x:v>54331</x:v>
      </x:c>
      <x:c r="C290" s="7" t="n">
        <x:f>G289</x:f>
        <x:v>56796.22</x:v>
      </x:c>
      <x:c r="D290" s="7" t="n">
        <x:f>IF(A290=$B$7,ROUND(C290+E290,2),MIN($B$8,ROUND(C290+E290,2)))</x:f>
        <x:v>2742.78</x:v>
      </x:c>
      <x:c r="E290" s="7" t="n">
        <x:f>ROUND(C290*$B$6/12,2)</x:f>
        <x:v>302.91</x:v>
      </x:c>
      <x:c r="F290" s="7" t="n">
        <x:f>ROUND(D290-E290,2)</x:f>
        <x:v>2439.87</x:v>
      </x:c>
      <x:c r="G290" s="7" t="n">
        <x:f>ROUND(C290-F290,2)</x:f>
        <x:v>54356.35</x:v>
      </x:c>
      <x:c r="H290" s="7" t="n">
        <x:f>ROUND(D290-E290-F290,2)</x:f>
        <x:v>0</x:v>
      </x:c>
      <x:c r="I290" s="1" t="str">
        <x:v>Projection</x:v>
      </x:c>
    </x:row>
    <x:row r="291" ht="21" customHeight="1">
      <x:c r="A291" s="1" t="n">
        <x:v>280</x:v>
      </x:c>
      <x:c r="B291" s="6" t="n">
        <x:v>54362</x:v>
      </x:c>
      <x:c r="C291" s="7" t="n">
        <x:f>G290</x:f>
        <x:v>54356.35</x:v>
      </x:c>
      <x:c r="D291" s="7" t="n">
        <x:f>IF(A291=$B$7,ROUND(C291+E291,2),MIN($B$8,ROUND(C291+E291,2)))</x:f>
        <x:v>2742.78</x:v>
      </x:c>
      <x:c r="E291" s="7" t="n">
        <x:f>ROUND(C291*$B$6/12,2)</x:f>
        <x:v>289.9</x:v>
      </x:c>
      <x:c r="F291" s="7" t="n">
        <x:f>ROUND(D291-E291,2)</x:f>
        <x:v>2452.88</x:v>
      </x:c>
      <x:c r="G291" s="7" t="n">
        <x:f>ROUND(C291-F291,2)</x:f>
        <x:v>51903.47</x:v>
      </x:c>
      <x:c r="H291" s="7" t="n">
        <x:f>ROUND(D291-E291-F291,2)</x:f>
        <x:v>0</x:v>
      </x:c>
      <x:c r="I291" s="1" t="str">
        <x:v>Projection</x:v>
      </x:c>
    </x:row>
    <x:row r="292" ht="21" customHeight="1">
      <x:c r="A292" s="1" t="n">
        <x:v>281</x:v>
      </x:c>
      <x:c r="B292" s="6" t="n">
        <x:v>54392</x:v>
      </x:c>
      <x:c r="C292" s="7" t="n">
        <x:f>G291</x:f>
        <x:v>51903.47</x:v>
      </x:c>
      <x:c r="D292" s="7" t="n">
        <x:f>IF(A292=$B$7,ROUND(C292+E292,2),MIN($B$8,ROUND(C292+E292,2)))</x:f>
        <x:v>2742.78</x:v>
      </x:c>
      <x:c r="E292" s="7" t="n">
        <x:f>ROUND(C292*$B$6/12,2)</x:f>
        <x:v>276.82</x:v>
      </x:c>
      <x:c r="F292" s="7" t="n">
        <x:f>ROUND(D292-E292,2)</x:f>
        <x:v>2465.96</x:v>
      </x:c>
      <x:c r="G292" s="7" t="n">
        <x:f>ROUND(C292-F292,2)</x:f>
        <x:v>49437.51</x:v>
      </x:c>
      <x:c r="H292" s="7" t="n">
        <x:f>ROUND(D292-E292-F292,2)</x:f>
        <x:v>0</x:v>
      </x:c>
      <x:c r="I292" s="1" t="str">
        <x:v>Projection</x:v>
      </x:c>
    </x:row>
    <x:row r="293" ht="21" customHeight="1">
      <x:c r="A293" s="1" t="n">
        <x:v>282</x:v>
      </x:c>
      <x:c r="B293" s="6" t="n">
        <x:v>54423</x:v>
      </x:c>
      <x:c r="C293" s="7" t="n">
        <x:f>G292</x:f>
        <x:v>49437.51</x:v>
      </x:c>
      <x:c r="D293" s="7" t="n">
        <x:f>IF(A293=$B$7,ROUND(C293+E293,2),MIN($B$8,ROUND(C293+E293,2)))</x:f>
        <x:v>2742.78</x:v>
      </x:c>
      <x:c r="E293" s="7" t="n">
        <x:f>ROUND(C293*$B$6/12,2)</x:f>
        <x:v>263.67</x:v>
      </x:c>
      <x:c r="F293" s="7" t="n">
        <x:f>ROUND(D293-E293,2)</x:f>
        <x:v>2479.11</x:v>
      </x:c>
      <x:c r="G293" s="7" t="n">
        <x:f>ROUND(C293-F293,2)</x:f>
        <x:v>46958.4</x:v>
      </x:c>
      <x:c r="H293" s="7" t="n">
        <x:f>ROUND(D293-E293-F293,2)</x:f>
        <x:v>0</x:v>
      </x:c>
      <x:c r="I293" s="1" t="str">
        <x:v>Projection</x:v>
      </x:c>
    </x:row>
    <x:row r="294" ht="21" customHeight="1">
      <x:c r="A294" s="1" t="n">
        <x:v>283</x:v>
      </x:c>
      <x:c r="B294" s="6" t="n">
        <x:v>54454</x:v>
      </x:c>
      <x:c r="C294" s="7" t="n">
        <x:f>G293</x:f>
        <x:v>46958.4</x:v>
      </x:c>
      <x:c r="D294" s="7" t="n">
        <x:f>IF(A294=$B$7,ROUND(C294+E294,2),MIN($B$8,ROUND(C294+E294,2)))</x:f>
        <x:v>2742.78</x:v>
      </x:c>
      <x:c r="E294" s="7" t="n">
        <x:f>ROUND(C294*$B$6/12,2)</x:f>
        <x:v>250.44</x:v>
      </x:c>
      <x:c r="F294" s="7" t="n">
        <x:f>ROUND(D294-E294,2)</x:f>
        <x:v>2492.34</x:v>
      </x:c>
      <x:c r="G294" s="7" t="n">
        <x:f>ROUND(C294-F294,2)</x:f>
        <x:v>44466.06</x:v>
      </x:c>
      <x:c r="H294" s="7" t="n">
        <x:f>ROUND(D294-E294-F294,2)</x:f>
        <x:v>0</x:v>
      </x:c>
      <x:c r="I294" s="1" t="str">
        <x:v>Projection</x:v>
      </x:c>
    </x:row>
    <x:row r="295" ht="21" customHeight="1">
      <x:c r="A295" s="1" t="n">
        <x:v>284</x:v>
      </x:c>
      <x:c r="B295" s="6" t="n">
        <x:v>54482</x:v>
      </x:c>
      <x:c r="C295" s="7" t="n">
        <x:f>G294</x:f>
        <x:v>44466.06</x:v>
      </x:c>
      <x:c r="D295" s="7" t="n">
        <x:f>IF(A295=$B$7,ROUND(C295+E295,2),MIN($B$8,ROUND(C295+E295,2)))</x:f>
        <x:v>2742.78</x:v>
      </x:c>
      <x:c r="E295" s="7" t="n">
        <x:f>ROUND(C295*$B$6/12,2)</x:f>
        <x:v>237.15</x:v>
      </x:c>
      <x:c r="F295" s="7" t="n">
        <x:f>ROUND(D295-E295,2)</x:f>
        <x:v>2505.63</x:v>
      </x:c>
      <x:c r="G295" s="7" t="n">
        <x:f>ROUND(C295-F295,2)</x:f>
        <x:v>41960.43</x:v>
      </x:c>
      <x:c r="H295" s="7" t="n">
        <x:f>ROUND(D295-E295-F295,2)</x:f>
        <x:v>0</x:v>
      </x:c>
      <x:c r="I295" s="1" t="str">
        <x:v>Projection</x:v>
      </x:c>
    </x:row>
    <x:row r="296" ht="21" customHeight="1">
      <x:c r="A296" s="1" t="n">
        <x:v>285</x:v>
      </x:c>
      <x:c r="B296" s="6" t="n">
        <x:v>54513</x:v>
      </x:c>
      <x:c r="C296" s="7" t="n">
        <x:f>G295</x:f>
        <x:v>41960.43</x:v>
      </x:c>
      <x:c r="D296" s="7" t="n">
        <x:f>IF(A296=$B$7,ROUND(C296+E296,2),MIN($B$8,ROUND(C296+E296,2)))</x:f>
        <x:v>2742.78</x:v>
      </x:c>
      <x:c r="E296" s="7" t="n">
        <x:f>ROUND(C296*$B$6/12,2)</x:f>
        <x:v>223.79</x:v>
      </x:c>
      <x:c r="F296" s="7" t="n">
        <x:f>ROUND(D296-E296,2)</x:f>
        <x:v>2518.99</x:v>
      </x:c>
      <x:c r="G296" s="7" t="n">
        <x:f>ROUND(C296-F296,2)</x:f>
        <x:v>39441.44</x:v>
      </x:c>
      <x:c r="H296" s="7" t="n">
        <x:f>ROUND(D296-E296-F296,2)</x:f>
        <x:v>0</x:v>
      </x:c>
      <x:c r="I296" s="1" t="str">
        <x:v>Projection</x:v>
      </x:c>
    </x:row>
    <x:row r="297" ht="21" customHeight="1">
      <x:c r="A297" s="1" t="n">
        <x:v>286</x:v>
      </x:c>
      <x:c r="B297" s="6" t="n">
        <x:v>54543</x:v>
      </x:c>
      <x:c r="C297" s="7" t="n">
        <x:f>G296</x:f>
        <x:v>39441.44</x:v>
      </x:c>
      <x:c r="D297" s="7" t="n">
        <x:f>IF(A297=$B$7,ROUND(C297+E297,2),MIN($B$8,ROUND(C297+E297,2)))</x:f>
        <x:v>2742.78</x:v>
      </x:c>
      <x:c r="E297" s="7" t="n">
        <x:f>ROUND(C297*$B$6/12,2)</x:f>
        <x:v>210.35</x:v>
      </x:c>
      <x:c r="F297" s="7" t="n">
        <x:f>ROUND(D297-E297,2)</x:f>
        <x:v>2532.43</x:v>
      </x:c>
      <x:c r="G297" s="7" t="n">
        <x:f>ROUND(C297-F297,2)</x:f>
        <x:v>36909.01</x:v>
      </x:c>
      <x:c r="H297" s="7" t="n">
        <x:f>ROUND(D297-E297-F297,2)</x:f>
        <x:v>0</x:v>
      </x:c>
      <x:c r="I297" s="1" t="str">
        <x:v>Projection</x:v>
      </x:c>
    </x:row>
    <x:row r="298" ht="21" customHeight="1">
      <x:c r="A298" s="1" t="n">
        <x:v>287</x:v>
      </x:c>
      <x:c r="B298" s="6" t="n">
        <x:v>54574</x:v>
      </x:c>
      <x:c r="C298" s="7" t="n">
        <x:f>G297</x:f>
        <x:v>36909.01</x:v>
      </x:c>
      <x:c r="D298" s="7" t="n">
        <x:f>IF(A298=$B$7,ROUND(C298+E298,2),MIN($B$8,ROUND(C298+E298,2)))</x:f>
        <x:v>2742.78</x:v>
      </x:c>
      <x:c r="E298" s="7" t="n">
        <x:f>ROUND(C298*$B$6/12,2)</x:f>
        <x:v>196.85</x:v>
      </x:c>
      <x:c r="F298" s="7" t="n">
        <x:f>ROUND(D298-E298,2)</x:f>
        <x:v>2545.93</x:v>
      </x:c>
      <x:c r="G298" s="7" t="n">
        <x:f>ROUND(C298-F298,2)</x:f>
        <x:v>34363.08</x:v>
      </x:c>
      <x:c r="H298" s="7" t="n">
        <x:f>ROUND(D298-E298-F298,2)</x:f>
        <x:v>0</x:v>
      </x:c>
      <x:c r="I298" s="1" t="str">
        <x:v>Projection</x:v>
      </x:c>
    </x:row>
    <x:row r="299" ht="21" customHeight="1">
      <x:c r="A299" s="1" t="n">
        <x:v>288</x:v>
      </x:c>
      <x:c r="B299" s="6" t="n">
        <x:v>54604</x:v>
      </x:c>
      <x:c r="C299" s="7" t="n">
        <x:f>G298</x:f>
        <x:v>34363.08</x:v>
      </x:c>
      <x:c r="D299" s="7" t="n">
        <x:f>IF(A299=$B$7,ROUND(C299+E299,2),MIN($B$8,ROUND(C299+E299,2)))</x:f>
        <x:v>2742.78</x:v>
      </x:c>
      <x:c r="E299" s="7" t="n">
        <x:f>ROUND(C299*$B$6/12,2)</x:f>
        <x:v>183.27</x:v>
      </x:c>
      <x:c r="F299" s="7" t="n">
        <x:f>ROUND(D299-E299,2)</x:f>
        <x:v>2559.51</x:v>
      </x:c>
      <x:c r="G299" s="7" t="n">
        <x:f>ROUND(C299-F299,2)</x:f>
        <x:v>31803.57</x:v>
      </x:c>
      <x:c r="H299" s="7" t="n">
        <x:f>ROUND(D299-E299-F299,2)</x:f>
        <x:v>0</x:v>
      </x:c>
      <x:c r="I299" s="1" t="str">
        <x:v>Projection</x:v>
      </x:c>
    </x:row>
    <x:row r="300" ht="21" customHeight="1">
      <x:c r="A300" s="1" t="n">
        <x:v>289</x:v>
      </x:c>
      <x:c r="B300" s="6" t="n">
        <x:v>54635</x:v>
      </x:c>
      <x:c r="C300" s="7" t="n">
        <x:f>G299</x:f>
        <x:v>31803.57</x:v>
      </x:c>
      <x:c r="D300" s="7" t="n">
        <x:f>IF(A300=$B$7,ROUND(C300+E300,2),MIN($B$8,ROUND(C300+E300,2)))</x:f>
        <x:v>2742.78</x:v>
      </x:c>
      <x:c r="E300" s="7" t="n">
        <x:f>ROUND(C300*$B$6/12,2)</x:f>
        <x:v>169.62</x:v>
      </x:c>
      <x:c r="F300" s="7" t="n">
        <x:f>ROUND(D300-E300,2)</x:f>
        <x:v>2573.16</x:v>
      </x:c>
      <x:c r="G300" s="7" t="n">
        <x:f>ROUND(C300-F300,2)</x:f>
        <x:v>29230.41</x:v>
      </x:c>
      <x:c r="H300" s="7" t="n">
        <x:f>ROUND(D300-E300-F300,2)</x:f>
        <x:v>0</x:v>
      </x:c>
      <x:c r="I300" s="1" t="str">
        <x:v>Projection</x:v>
      </x:c>
    </x:row>
    <x:row r="301" ht="21" customHeight="1">
      <x:c r="A301" s="1" t="n">
        <x:v>290</x:v>
      </x:c>
      <x:c r="B301" s="6" t="n">
        <x:v>54666</x:v>
      </x:c>
      <x:c r="C301" s="7" t="n">
        <x:f>G300</x:f>
        <x:v>29230.41</x:v>
      </x:c>
      <x:c r="D301" s="7" t="n">
        <x:f>IF(A301=$B$7,ROUND(C301+E301,2),MIN($B$8,ROUND(C301+E301,2)))</x:f>
        <x:v>2742.78</x:v>
      </x:c>
      <x:c r="E301" s="7" t="n">
        <x:f>ROUND(C301*$B$6/12,2)</x:f>
        <x:v>155.9</x:v>
      </x:c>
      <x:c r="F301" s="7" t="n">
        <x:f>ROUND(D301-E301,2)</x:f>
        <x:v>2586.88</x:v>
      </x:c>
      <x:c r="G301" s="7" t="n">
        <x:f>ROUND(C301-F301,2)</x:f>
        <x:v>26643.53</x:v>
      </x:c>
      <x:c r="H301" s="7" t="n">
        <x:f>ROUND(D301-E301-F301,2)</x:f>
        <x:v>0</x:v>
      </x:c>
      <x:c r="I301" s="1" t="str">
        <x:v>Projection</x:v>
      </x:c>
    </x:row>
    <x:row r="302" ht="21" customHeight="1">
      <x:c r="A302" s="1" t="n">
        <x:v>291</x:v>
      </x:c>
      <x:c r="B302" s="6" t="n">
        <x:v>54696</x:v>
      </x:c>
      <x:c r="C302" s="7" t="n">
        <x:f>G301</x:f>
        <x:v>26643.53</x:v>
      </x:c>
      <x:c r="D302" s="7" t="n">
        <x:f>IF(A302=$B$7,ROUND(C302+E302,2),MIN($B$8,ROUND(C302+E302,2)))</x:f>
        <x:v>2742.78</x:v>
      </x:c>
      <x:c r="E302" s="7" t="n">
        <x:f>ROUND(C302*$B$6/12,2)</x:f>
        <x:v>142.1</x:v>
      </x:c>
      <x:c r="F302" s="7" t="n">
        <x:f>ROUND(D302-E302,2)</x:f>
        <x:v>2600.68</x:v>
      </x:c>
      <x:c r="G302" s="7" t="n">
        <x:f>ROUND(C302-F302,2)</x:f>
        <x:v>24042.85</x:v>
      </x:c>
      <x:c r="H302" s="7" t="n">
        <x:f>ROUND(D302-E302-F302,2)</x:f>
        <x:v>0</x:v>
      </x:c>
      <x:c r="I302" s="1" t="str">
        <x:v>Projection</x:v>
      </x:c>
    </x:row>
    <x:row r="303" ht="21" customHeight="1">
      <x:c r="A303" s="1" t="n">
        <x:v>292</x:v>
      </x:c>
      <x:c r="B303" s="6" t="n">
        <x:v>54727</x:v>
      </x:c>
      <x:c r="C303" s="7" t="n">
        <x:f>G302</x:f>
        <x:v>24042.85</x:v>
      </x:c>
      <x:c r="D303" s="7" t="n">
        <x:f>IF(A303=$B$7,ROUND(C303+E303,2),MIN($B$8,ROUND(C303+E303,2)))</x:f>
        <x:v>2742.78</x:v>
      </x:c>
      <x:c r="E303" s="7" t="n">
        <x:f>ROUND(C303*$B$6/12,2)</x:f>
        <x:v>128.23</x:v>
      </x:c>
      <x:c r="F303" s="7" t="n">
        <x:f>ROUND(D303-E303,2)</x:f>
        <x:v>2614.55</x:v>
      </x:c>
      <x:c r="G303" s="7" t="n">
        <x:f>ROUND(C303-F303,2)</x:f>
        <x:v>21428.3</x:v>
      </x:c>
      <x:c r="H303" s="7" t="n">
        <x:f>ROUND(D303-E303-F303,2)</x:f>
        <x:v>0</x:v>
      </x:c>
      <x:c r="I303" s="1" t="str">
        <x:v>Projection</x:v>
      </x:c>
    </x:row>
    <x:row r="304" ht="21" customHeight="1">
      <x:c r="A304" s="1" t="n">
        <x:v>293</x:v>
      </x:c>
      <x:c r="B304" s="6" t="n">
        <x:v>54757</x:v>
      </x:c>
      <x:c r="C304" s="7" t="n">
        <x:f>G303</x:f>
        <x:v>21428.3</x:v>
      </x:c>
      <x:c r="D304" s="7" t="n">
        <x:f>IF(A304=$B$7,ROUND(C304+E304,2),MIN($B$8,ROUND(C304+E304,2)))</x:f>
        <x:v>2742.78</x:v>
      </x:c>
      <x:c r="E304" s="7" t="n">
        <x:f>ROUND(C304*$B$6/12,2)</x:f>
        <x:v>114.28</x:v>
      </x:c>
      <x:c r="F304" s="7" t="n">
        <x:f>ROUND(D304-E304,2)</x:f>
        <x:v>2628.5</x:v>
      </x:c>
      <x:c r="G304" s="7" t="n">
        <x:f>ROUND(C304-F304,2)</x:f>
        <x:v>18799.8</x:v>
      </x:c>
      <x:c r="H304" s="7" t="n">
        <x:f>ROUND(D304-E304-F304,2)</x:f>
        <x:v>0</x:v>
      </x:c>
      <x:c r="I304" s="1" t="str">
        <x:v>Projection</x:v>
      </x:c>
    </x:row>
    <x:row r="305" ht="21" customHeight="1">
      <x:c r="A305" s="1" t="n">
        <x:v>294</x:v>
      </x:c>
      <x:c r="B305" s="6" t="n">
        <x:v>54788</x:v>
      </x:c>
      <x:c r="C305" s="7" t="n">
        <x:f>G304</x:f>
        <x:v>18799.8</x:v>
      </x:c>
      <x:c r="D305" s="7" t="n">
        <x:f>IF(A305=$B$7,ROUND(C305+E305,2),MIN($B$8,ROUND(C305+E305,2)))</x:f>
        <x:v>2742.78</x:v>
      </x:c>
      <x:c r="E305" s="7" t="n">
        <x:f>ROUND(C305*$B$6/12,2)</x:f>
        <x:v>100.27</x:v>
      </x:c>
      <x:c r="F305" s="7" t="n">
        <x:f>ROUND(D305-E305,2)</x:f>
        <x:v>2642.51</x:v>
      </x:c>
      <x:c r="G305" s="7" t="n">
        <x:f>ROUND(C305-F305,2)</x:f>
        <x:v>16157.29</x:v>
      </x:c>
      <x:c r="H305" s="7" t="n">
        <x:f>ROUND(D305-E305-F305,2)</x:f>
        <x:v>0</x:v>
      </x:c>
      <x:c r="I305" s="1" t="str">
        <x:v>Projection</x:v>
      </x:c>
    </x:row>
    <x:row r="306" ht="21" customHeight="1">
      <x:c r="A306" s="1" t="n">
        <x:v>295</x:v>
      </x:c>
      <x:c r="B306" s="6" t="n">
        <x:v>54819</x:v>
      </x:c>
      <x:c r="C306" s="7" t="n">
        <x:f>G305</x:f>
        <x:v>16157.29</x:v>
      </x:c>
      <x:c r="D306" s="7" t="n">
        <x:f>IF(A306=$B$7,ROUND(C306+E306,2),MIN($B$8,ROUND(C306+E306,2)))</x:f>
        <x:v>2742.78</x:v>
      </x:c>
      <x:c r="E306" s="7" t="n">
        <x:f>ROUND(C306*$B$6/12,2)</x:f>
        <x:v>86.17</x:v>
      </x:c>
      <x:c r="F306" s="7" t="n">
        <x:f>ROUND(D306-E306,2)</x:f>
        <x:v>2656.61</x:v>
      </x:c>
      <x:c r="G306" s="7" t="n">
        <x:f>ROUND(C306-F306,2)</x:f>
        <x:v>13500.68</x:v>
      </x:c>
      <x:c r="H306" s="7" t="n">
        <x:f>ROUND(D306-E306-F306,2)</x:f>
        <x:v>0</x:v>
      </x:c>
      <x:c r="I306" s="1" t="str">
        <x:v>Projection</x:v>
      </x:c>
    </x:row>
    <x:row r="307" ht="21" customHeight="1">
      <x:c r="A307" s="1" t="n">
        <x:v>296</x:v>
      </x:c>
      <x:c r="B307" s="6" t="n">
        <x:v>54847</x:v>
      </x:c>
      <x:c r="C307" s="7" t="n">
        <x:f>G306</x:f>
        <x:v>13500.68</x:v>
      </x:c>
      <x:c r="D307" s="7" t="n">
        <x:f>IF(A307=$B$7,ROUND(C307+E307,2),MIN($B$8,ROUND(C307+E307,2)))</x:f>
        <x:v>2742.78</x:v>
      </x:c>
      <x:c r="E307" s="7" t="n">
        <x:f>ROUND(C307*$B$6/12,2)</x:f>
        <x:v>72</x:v>
      </x:c>
      <x:c r="F307" s="7" t="n">
        <x:f>ROUND(D307-E307,2)</x:f>
        <x:v>2670.78</x:v>
      </x:c>
      <x:c r="G307" s="7" t="n">
        <x:f>ROUND(C307-F307,2)</x:f>
        <x:v>10829.9</x:v>
      </x:c>
      <x:c r="H307" s="7" t="n">
        <x:f>ROUND(D307-E307-F307,2)</x:f>
        <x:v>0</x:v>
      </x:c>
      <x:c r="I307" s="1" t="str">
        <x:v>Projection</x:v>
      </x:c>
    </x:row>
    <x:row r="308" ht="21" customHeight="1">
      <x:c r="A308" s="1" t="n">
        <x:v>297</x:v>
      </x:c>
      <x:c r="B308" s="6" t="n">
        <x:v>54878</x:v>
      </x:c>
      <x:c r="C308" s="7" t="n">
        <x:f>G307</x:f>
        <x:v>10829.9</x:v>
      </x:c>
      <x:c r="D308" s="7" t="n">
        <x:f>IF(A308=$B$7,ROUND(C308+E308,2),MIN($B$8,ROUND(C308+E308,2)))</x:f>
        <x:v>2742.78</x:v>
      </x:c>
      <x:c r="E308" s="7" t="n">
        <x:f>ROUND(C308*$B$6/12,2)</x:f>
        <x:v>57.76</x:v>
      </x:c>
      <x:c r="F308" s="7" t="n">
        <x:f>ROUND(D308-E308,2)</x:f>
        <x:v>2685.02</x:v>
      </x:c>
      <x:c r="G308" s="7" t="n">
        <x:f>ROUND(C308-F308,2)</x:f>
        <x:v>8144.88</x:v>
      </x:c>
      <x:c r="H308" s="7" t="n">
        <x:f>ROUND(D308-E308-F308,2)</x:f>
        <x:v>0</x:v>
      </x:c>
      <x:c r="I308" s="1" t="str">
        <x:v>Projection</x:v>
      </x:c>
    </x:row>
    <x:row r="309" ht="21" customHeight="1">
      <x:c r="A309" s="1" t="n">
        <x:v>298</x:v>
      </x:c>
      <x:c r="B309" s="6" t="n">
        <x:v>54908</x:v>
      </x:c>
      <x:c r="C309" s="7" t="n">
        <x:f>G308</x:f>
        <x:v>8144.88</x:v>
      </x:c>
      <x:c r="D309" s="7" t="n">
        <x:f>IF(A309=$B$7,ROUND(C309+E309,2),MIN($B$8,ROUND(C309+E309,2)))</x:f>
        <x:v>2742.78</x:v>
      </x:c>
      <x:c r="E309" s="7" t="n">
        <x:f>ROUND(C309*$B$6/12,2)</x:f>
        <x:v>43.44</x:v>
      </x:c>
      <x:c r="F309" s="7" t="n">
        <x:f>ROUND(D309-E309,2)</x:f>
        <x:v>2699.34</x:v>
      </x:c>
      <x:c r="G309" s="7" t="n">
        <x:f>ROUND(C309-F309,2)</x:f>
        <x:v>5445.54</x:v>
      </x:c>
      <x:c r="H309" s="7" t="n">
        <x:f>ROUND(D309-E309-F309,2)</x:f>
        <x:v>0</x:v>
      </x:c>
      <x:c r="I309" s="1" t="str">
        <x:v>Projection</x:v>
      </x:c>
    </x:row>
    <x:row r="310" ht="21" customHeight="1">
      <x:c r="A310" s="1" t="n">
        <x:v>299</x:v>
      </x:c>
      <x:c r="B310" s="6" t="n">
        <x:v>54939</x:v>
      </x:c>
      <x:c r="C310" s="7" t="n">
        <x:f>G309</x:f>
        <x:v>5445.54</x:v>
      </x:c>
      <x:c r="D310" s="7" t="n">
        <x:f>IF(A310=$B$7,ROUND(C310+E310,2),MIN($B$8,ROUND(C310+E310,2)))</x:f>
        <x:v>2742.78</x:v>
      </x:c>
      <x:c r="E310" s="7" t="n">
        <x:f>ROUND(C310*$B$6/12,2)</x:f>
        <x:v>29.04</x:v>
      </x:c>
      <x:c r="F310" s="7" t="n">
        <x:f>ROUND(D310-E310,2)</x:f>
        <x:v>2713.74</x:v>
      </x:c>
      <x:c r="G310" s="7" t="n">
        <x:f>ROUND(C310-F310,2)</x:f>
        <x:v>2731.8</x:v>
      </x:c>
      <x:c r="H310" s="7" t="n">
        <x:f>ROUND(D310-E310-F310,2)</x:f>
        <x:v>0</x:v>
      </x:c>
      <x:c r="I310" s="1" t="str">
        <x:v>Projection</x:v>
      </x:c>
    </x:row>
    <x:row r="311" ht="21" customHeight="1">
      <x:c r="A311" s="1" t="n">
        <x:v>300</x:v>
      </x:c>
      <x:c r="B311" s="6" t="n">
        <x:v>54969</x:v>
      </x:c>
      <x:c r="C311" s="7" t="n">
        <x:f>G310</x:f>
        <x:v>2731.8</x:v>
      </x:c>
      <x:c r="D311" s="7" t="n">
        <x:f>IF(A311=$B$7,ROUND(C311+E311,2),MIN($B$8,ROUND(C311+E311,2)))</x:f>
        <x:v>2746.37</x:v>
      </x:c>
      <x:c r="E311" s="7" t="n">
        <x:f>ROUND(C311*$B$6/12,2)</x:f>
        <x:v>14.57</x:v>
      </x:c>
      <x:c r="F311" s="7" t="n">
        <x:f>ROUND(D311-E311,2)</x:f>
        <x:v>2731.8</x:v>
      </x:c>
      <x:c r="G311" s="7" t="n">
        <x:f>ROUND(C311-F311,2)</x:f>
        <x:v>0</x:v>
      </x:c>
      <x:c r="H311" s="7" t="n">
        <x:f>ROUND(D311-E311-F311,2)</x:f>
        <x:v>0</x:v>
      </x:c>
      <x:c r="I311" s="1" t="str">
        <x:v>Projection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1" customHeight="1">
      <x:c r="A1" s="1"/>
      <x:c r="B1" s="1"/>
      <x:c r="C1" s="1"/>
      <x:c r="D1" s="1"/>
      <x:c r="E1" s="1"/>
      <x:c r="F1" s="1"/>
    </x:row>
    <x:row r="2" ht="32" customHeight="1">
      <x:c r="A2" s="2" t="str">
        <x:v>Property manager reconciliation</x:v>
      </x:c>
      <x:c r="B2" s="2"/>
      <x:c r="C2" s="2"/>
      <x:c r="D2" s="2"/>
      <x:c r="E2" s="2"/>
      <x:c r="F2" s="2"/>
    </x:row>
    <x:row r="3" ht="21" customHeight="1">
      <x:c r="A3" s="1" t="str">
        <x:v>SYNTHETIC | Gross rent less retained costs equals the net bank deposit. All values AUD.</x:v>
      </x:c>
      <x:c r="B3" s="1"/>
      <x:c r="C3" s="1"/>
      <x:c r="D3" s="1"/>
      <x:c r="E3" s="1"/>
      <x:c r="F3" s="1"/>
    </x:row>
    <x:row r="4" ht="21" customHeight="1">
      <x:c r="A4" s="1"/>
      <x:c r="B4" s="1"/>
      <x:c r="C4" s="1"/>
      <x:c r="D4" s="1"/>
      <x:c r="E4" s="1"/>
      <x:c r="F4" s="1"/>
    </x:row>
    <x:row r="5" ht="30" customHeight="1">
      <x:c r="A5" s="5" t="str">
        <x:v>Month</x:v>
      </x:c>
      <x:c r="B5" s="5" t="str">
        <x:v>Gross rent</x:v>
      </x:c>
      <x:c r="C5" s="5" t="str">
        <x:v>Management fee</x:v>
      </x:c>
      <x:c r="D5" s="5" t="str">
        <x:v>Repairs</x:v>
      </x:c>
      <x:c r="E5" s="5" t="str">
        <x:v>Net remittance</x:v>
      </x:c>
      <x:c r="F5" s="5" t="str">
        <x:v>Bank difference</x:v>
      </x:c>
    </x:row>
    <x:row r="6" ht="21" customHeight="1">
      <x:c r="A6" s="1" t="str">
        <x:v>2025-07</x:v>
      </x:c>
      <x:c r="B6" s="7" t="n">
        <x:v>2600</x:v>
      </x:c>
      <x:c r="C6" s="7" t="n">
        <x:v>182</x:v>
      </x:c>
      <x:c r="D6" s="7" t="n">
        <x:v>0</x:v>
      </x:c>
      <x:c r="E6" s="7" t="n">
        <x:f>ROUND(B6-C6-D6,2)</x:f>
        <x:v>2418</x:v>
      </x:c>
      <x:c r="F6" s="7" t="n">
        <x:f>ROUND(E6-SUMIFS('Bank Movements'!$E$6:$E$124,'Bank Movements'!$B$6:$B$124,"HH-RENTAL",'Bank Movements'!$L$6:$L$124,A6,'Bank Movements'!$E$6:$E$124,"&gt;0"),2)</x:f>
        <x:v>0</x:v>
      </x:c>
    </x:row>
    <x:row r="7" ht="21" customHeight="1">
      <x:c r="A7" s="1" t="str">
        <x:v>2025-08</x:v>
      </x:c>
      <x:c r="B7" s="7" t="n">
        <x:v>2600</x:v>
      </x:c>
      <x:c r="C7" s="7" t="n">
        <x:v>182</x:v>
      </x:c>
      <x:c r="D7" s="7" t="n">
        <x:v>165</x:v>
      </x:c>
      <x:c r="E7" s="7" t="n">
        <x:f>ROUND(B7-C7-D7,2)</x:f>
        <x:v>2253</x:v>
      </x:c>
      <x:c r="F7" s="7" t="n">
        <x:f>ROUND(E7-SUMIFS('Bank Movements'!$E$6:$E$124,'Bank Movements'!$B$6:$B$124,"HH-RENTAL",'Bank Movements'!$L$6:$L$124,A7,'Bank Movements'!$E$6:$E$124,"&gt;0"),2)</x:f>
        <x:v>0</x:v>
      </x:c>
    </x:row>
    <x:row r="8" ht="21" customHeight="1">
      <x:c r="A8" s="1" t="str">
        <x:v>2025-09</x:v>
      </x:c>
      <x:c r="B8" s="7" t="n">
        <x:v>2750</x:v>
      </x:c>
      <x:c r="C8" s="7" t="n">
        <x:v>192.5</x:v>
      </x:c>
      <x:c r="D8" s="7" t="n">
        <x:v>0</x:v>
      </x:c>
      <x:c r="E8" s="7" t="n">
        <x:f>ROUND(B8-C8-D8,2)</x:f>
        <x:v>2557.5</x:v>
      </x:c>
      <x:c r="F8" s="7" t="n">
        <x:f>ROUND(E8-SUMIFS('Bank Movements'!$E$6:$E$124,'Bank Movements'!$B$6:$B$124,"HH-RENTAL",'Bank Movements'!$L$6:$L$124,A8,'Bank Movements'!$E$6:$E$124,"&gt;0"),2)</x:f>
        <x:v>0</x:v>
      </x:c>
    </x:row>
    <x:row r="9" ht="30" customHeight="1">
      <x:c r="A9" s="5" t="str">
        <x:v>QUARTER TOTAL</x:v>
      </x:c>
      <x:c r="B9" s="9" t="n">
        <x:f>SUM(B6:B8)</x:f>
        <x:v>7950</x:v>
      </x:c>
      <x:c r="C9" s="9" t="n">
        <x:f>SUM(C6:C8)</x:f>
        <x:v>556.5</x:v>
      </x:c>
      <x:c r="D9" s="9" t="n">
        <x:f>SUM(D6:D8)</x:f>
        <x:v>165</x:v>
      </x:c>
      <x:c r="E9" s="9" t="n">
        <x:f>SUM(E6:E8)</x:f>
        <x:v>7228.5</x:v>
      </x:c>
      <x:c r="F9" s="9" t="n">
        <x:f>SUM(F6:F8)</x:f>
        <x:v>0</x:v>
      </x:c>
    </x:row>
    <x:row r="10" ht="21" customHeight="1">
      <x:c r="A10" s="1"/>
      <x:c r="B10" s="1"/>
      <x:c r="C10" s="1"/>
      <x:c r="D10" s="1"/>
      <x:c r="E10" s="1"/>
      <x:c r="F10" s="1"/>
    </x:row>
    <x:row r="11" ht="21" customHeight="1">
      <x:c r="A11" s="1"/>
      <x:c r="B11" s="1"/>
      <x:c r="C11" s="1"/>
      <x:c r="D11" s="1"/>
      <x:c r="E11" s="1"/>
      <x:c r="F11" s="1"/>
    </x:row>
    <x:row r="12" ht="21" customHeight="1">
      <x:c r="A12" s="1" t="str">
        <x:v>The rent is residential rent; GST is not added to the rent in this scenario.</x:v>
      </x:c>
      <x:c r="B12" s="1"/>
      <x:c r="C12" s="1"/>
      <x:c r="D12" s="1"/>
      <x:c r="E12" s="1"/>
      <x:c r="F12" s="1"/>
    </x:row>
    <x:row r="13" ht="21" customHeight="1">
      <x:c r="A13" s="1" t="str">
        <x:v>Management and repair charges are gross amounts retained by the agent.</x:v>
      </x:c>
      <x:c r="B13" s="1"/>
      <x:c r="C13" s="1"/>
      <x:c r="D13" s="1"/>
      <x:c r="E13" s="1"/>
      <x:c r="F13" s="1"/>
    </x:row>
    <x:row r="14" ht="21" customHeight="1">
      <x:c r="A14" s="1" t="str">
        <x:v>Do not recognise the net deposit as additional income after booking the gross rent.</x:v>
      </x:c>
      <x:c r="B14" s="1"/>
      <x:c r="C14" s="1"/>
      <x:c r="D14" s="1"/>
      <x:c r="E14" s="1"/>
      <x:c r="F14" s="1"/>
    </x:row>
    <x:row r="15" ht="21" customHeight="1">
      <x:c r="A15" s="1" t="str">
        <x:v>This is a single-property fixture with full household ownership.</x:v>
      </x:c>
      <x:c r="B15" s="1"/>
      <x:c r="C15" s="1"/>
      <x:c r="D15" s="1"/>
      <x:c r="E15" s="1"/>
      <x:c r="F15" s="1"/>
    </x:row>
    <x:row r="16" ht="21" customHeight="1">
      <x:c r="A16" s="1" t="str">
        <x:v>Do not import this table as a list of bank transactions.</x:v>
      </x:c>
      <x:c r="B16" s="1"/>
      <x:c r="C16" s="1"/>
      <x:c r="D16" s="1"/>
      <x:c r="E16" s="1"/>
      <x:c r="F16" s="1"/>
    </x:row>
    <x:row r="17" ht="21" customHeight="1">
      <x:c r="A17" s="1"/>
      <x:c r="B17" s="1"/>
      <x:c r="C17" s="1"/>
      <x:c r="D17" s="1"/>
      <x:c r="E17" s="1"/>
      <x:c r="F17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7" hidden="0" customWidth="1"/>
    <x:col min="5" max="5" width="21" hidden="0" customWidth="1"/>
    <x:col min="6" max="6" width="21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2" customHeight="1">
      <x:c r="A2" s="2" t="str">
        <x:v>Synthetic bank movements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1" t="str">
        <x:v>AUD. Signed movements: outflows negative, inflows positive. Do not import this workbook as a bank CSV.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Date</x:v>
      </x:c>
      <x:c r="B5" s="5" t="str">
        <x:v>Account ID</x:v>
      </x:c>
      <x:c r="C5" s="5" t="str">
        <x:v>Entity ID</x:v>
      </x:c>
      <x:c r="D5" s="5" t="str">
        <x:v>Description</x:v>
      </x:c>
      <x:c r="E5" s="5" t="str">
        <x:v>Amount AUD</x:v>
      </x:c>
      <x:c r="F5" s="5" t="str">
        <x:v>Statement balance AUD</x:v>
      </x:c>
      <x:c r="G5" s="5" t="str">
        <x:v>Treatment</x:v>
      </x:c>
      <x:c r="H5" s="5" t="str">
        <x:v>Category</x:v>
      </x:c>
      <x:c r="I5" s="5" t="str">
        <x:v>Reference</x:v>
      </x:c>
      <x:c r="J5" s="5" t="str">
        <x:v>Pair ID</x:v>
      </x:c>
      <x:c r="K5" s="5" t="str">
        <x:v>Receipt filename</x:v>
      </x:c>
      <x:c r="L5" s="5" t="str">
        <x:v>Month</x:v>
      </x:c>
    </x:row>
    <x:row r="6" ht="21" customHeight="1">
      <x:c r="A6" s="6" t="n">
        <x:v>45840</x:v>
      </x:c>
      <x:c r="B6" s="1" t="str">
        <x:v>HH-CARD</x:v>
      </x:c>
      <x:c r="C6" s="1" t="str">
        <x:v>HH-NGUYEN</x:v>
      </x:c>
      <x:c r="D6" s="1" t="str">
        <x:v>Banksia Cafe, Sampleton</x:v>
      </x:c>
      <x:c r="E6" s="7" t="n">
        <x:v>-5.5</x:v>
      </x:c>
      <x:c r="F6" s="7" t="n">
        <x:v>-605.5</x:v>
      </x:c>
      <x:c r="G6" s="1" t="str">
        <x:v>expense</x:v>
      </x:c>
      <x:c r="H6" s="1" t="str">
        <x:v>dining</x:v>
      </x:c>
      <x:c r="I6" s="1" t="str">
        <x:v>TX-0001</x:v>
      </x:c>
      <x:c r="J6" s="1" t="str"/>
      <x:c r="K6" s="1" t="str"/>
      <x:c r="L6" s="1" t="str">
        <x:v>2025-07</x:v>
      </x:c>
    </x:row>
    <x:row r="7" ht="21" customHeight="1">
      <x:c r="A7" s="6" t="n">
        <x:v>45841</x:v>
      </x:c>
      <x:c r="B7" s="1" t="str">
        <x:v>HH-EVERYDAY</x:v>
      </x:c>
      <x:c r="C7" s="1" t="str">
        <x:v>HH-NGUYEN</x:v>
      </x:c>
      <x:c r="D7" s="1" t="str">
        <x:v>PAYROLL Eucalyptus Engineering - Alex</x:v>
      </x:c>
      <x:c r="E7" s="7" t="n">
        <x:v>3650</x:v>
      </x:c>
      <x:c r="F7" s="7" t="n">
        <x:v>18650</x:v>
      </x:c>
      <x:c r="G7" s="1" t="str">
        <x:v>income</x:v>
      </x:c>
      <x:c r="H7" s="1" t="str">
        <x:v>salary</x:v>
      </x:c>
      <x:c r="I7" s="1" t="str">
        <x:v>TX-0053</x:v>
      </x:c>
      <x:c r="J7" s="1" t="str"/>
      <x:c r="K7" s="1" t="str"/>
      <x:c r="L7" s="1" t="str">
        <x:v>2025-07</x:v>
      </x:c>
    </x:row>
    <x:row r="8" ht="21" customHeight="1">
      <x:c r="A8" s="6" t="n">
        <x:v>45841</x:v>
      </x:c>
      <x:c r="B8" s="1" t="str">
        <x:v>HH-EVERYDAY</x:v>
      </x:c>
      <x:c r="C8" s="1" t="str">
        <x:v>HH-NGUYEN</x:v>
      </x:c>
      <x:c r="D8" s="1" t="str">
        <x:v>Waratah Office Supplies paper ream</x:v>
      </x:c>
      <x:c r="E8" s="7" t="n">
        <x:v>-22</x:v>
      </x:c>
      <x:c r="F8" s="7" t="n">
        <x:v>18628</x:v>
      </x:c>
      <x:c r="G8" s="1" t="str">
        <x:v>expense</x:v>
      </x:c>
      <x:c r="H8" s="1" t="str">
        <x:v>office_supplies</x:v>
      </x:c>
      <x:c r="I8" s="1" t="str">
        <x:v>TX-0108</x:v>
      </x:c>
      <x:c r="J8" s="1" t="str"/>
      <x:c r="K8" s="1" t="str">
        <x:v>receipt_office_supplies_22.pdf</x:v>
      </x:c>
      <x:c r="L8" s="1" t="str">
        <x:v>2025-07</x:v>
      </x:c>
    </x:row>
    <x:row r="9" ht="21" customHeight="1">
      <x:c r="A9" s="6" t="n">
        <x:v>45842</x:v>
      </x:c>
      <x:c r="B9" s="1" t="str">
        <x:v>HH-CARD</x:v>
      </x:c>
      <x:c r="C9" s="1" t="str">
        <x:v>HH-NGUYEN</x:v>
      </x:c>
      <x:c r="D9" s="1" t="str">
        <x:v>Example Fuel Stop</x:v>
      </x:c>
      <x:c r="E9" s="7" t="n">
        <x:v>-65</x:v>
      </x:c>
      <x:c r="F9" s="7" t="n">
        <x:v>-670.5</x:v>
      </x:c>
      <x:c r="G9" s="1" t="str">
        <x:v>expense</x:v>
      </x:c>
      <x:c r="H9" s="1" t="str">
        <x:v>transportation</x:v>
      </x:c>
      <x:c r="I9" s="1" t="str">
        <x:v>TX-0002</x:v>
      </x:c>
      <x:c r="J9" s="1" t="str"/>
      <x:c r="K9" s="1" t="str"/>
      <x:c r="L9" s="1" t="str">
        <x:v>2025-07</x:v>
      </x:c>
    </x:row>
    <x:row r="10" ht="21" customHeight="1">
      <x:c r="A10" s="6" t="n">
        <x:v>45842</x:v>
      </x:c>
      <x:c r="B10" s="1" t="str">
        <x:v>HH-EVERYDAY</x:v>
      </x:c>
      <x:c r="C10" s="1" t="str">
        <x:v>HH-NGUYEN</x:v>
      </x:c>
      <x:c r="D10" s="1" t="str">
        <x:v>Waratah Office Supplies pens</x:v>
      </x:c>
      <x:c r="E10" s="7" t="n">
        <x:v>-15</x:v>
      </x:c>
      <x:c r="F10" s="7" t="n">
        <x:v>18613</x:v>
      </x:c>
      <x:c r="G10" s="1" t="str">
        <x:v>expense</x:v>
      </x:c>
      <x:c r="H10" s="1" t="str">
        <x:v>office_supplies</x:v>
      </x:c>
      <x:c r="I10" s="1" t="str">
        <x:v>TX-0109</x:v>
      </x:c>
      <x:c r="J10" s="1" t="str"/>
      <x:c r="K10" s="1" t="str"/>
      <x:c r="L10" s="1" t="str">
        <x:v>2025-07</x:v>
      </x:c>
    </x:row>
    <x:row r="11" ht="21" customHeight="1">
      <x:c r="A11" s="6" t="n">
        <x:v>45843</x:v>
      </x:c>
      <x:c r="B11" s="1" t="str">
        <x:v>HH-EVERYDAY</x:v>
      </x:c>
      <x:c r="C11" s="1" t="str">
        <x:v>HH-NGUYEN</x:v>
      </x:c>
      <x:c r="D11" s="1" t="str">
        <x:v>Green Basket Grocers - Sampleton</x:v>
      </x:c>
      <x:c r="E11" s="7" t="n">
        <x:v>-158</x:v>
      </x:c>
      <x:c r="F11" s="7" t="n">
        <x:v>18455</x:v>
      </x:c>
      <x:c r="G11" s="1" t="str">
        <x:v>expense</x:v>
      </x:c>
      <x:c r="H11" s="1" t="str">
        <x:v>groceries</x:v>
      </x:c>
      <x:c r="I11" s="1" t="str">
        <x:v>TX-0003</x:v>
      </x:c>
      <x:c r="J11" s="1" t="str"/>
      <x:c r="K11" s="1" t="str"/>
      <x:c r="L11" s="1" t="str">
        <x:v>2025-07</x:v>
      </x:c>
    </x:row>
    <x:row r="12" ht="21" customHeight="1">
      <x:c r="A12" s="6" t="n">
        <x:v>45843</x:v>
      </x:c>
      <x:c r="B12" s="1" t="str">
        <x:v>BIZ-BANK</x:v>
      </x:c>
      <x:c r="C12" s="1" t="str">
        <x:v>BIZ-WATTLE</x:v>
      </x:c>
      <x:c r="D12" s="1" t="str">
        <x:v>Client payment WD-07-05</x:v>
      </x:c>
      <x:c r="E12" s="7" t="n">
        <x:v>3300</x:v>
      </x:c>
      <x:c r="F12" s="7" t="n">
        <x:v>23300</x:v>
      </x:c>
      <x:c r="G12" s="1" t="str">
        <x:v>business_receipt</x:v>
      </x:c>
      <x:c r="H12" s="1" t="str">
        <x:v>business_income</x:v>
      </x:c>
      <x:c r="I12" s="1" t="str">
        <x:v>TX-0071</x:v>
      </x:c>
      <x:c r="J12" s="1" t="str"/>
      <x:c r="K12" s="1" t="str"/>
      <x:c r="L12" s="1" t="str">
        <x:v>2025-07</x:v>
      </x:c>
    </x:row>
    <x:row r="13" ht="21" customHeight="1">
      <x:c r="A13" s="6" t="n">
        <x:v>45844</x:v>
      </x:c>
      <x:c r="B13" s="1" t="str">
        <x:v>HH-EVERYDAY</x:v>
      </x:c>
      <x:c r="C13" s="1" t="str">
        <x:v>HH-NGUYEN</x:v>
      </x:c>
      <x:c r="D13" s="1" t="str">
        <x:v>Blue Wren Broadband BPAY</x:v>
      </x:c>
      <x:c r="E13" s="7" t="n">
        <x:v>-79.88</x:v>
      </x:c>
      <x:c r="F13" s="7" t="n">
        <x:v>18375.12</x:v>
      </x:c>
      <x:c r="G13" s="1" t="str">
        <x:v>expense</x:v>
      </x:c>
      <x:c r="H13" s="1" t="str">
        <x:v>utilities</x:v>
      </x:c>
      <x:c r="I13" s="1" t="str">
        <x:v>TX-0061</x:v>
      </x:c>
      <x:c r="J13" s="1" t="str"/>
      <x:c r="K13" s="1" t="str"/>
      <x:c r="L13" s="1" t="str">
        <x:v>2025-07</x:v>
      </x:c>
    </x:row>
    <x:row r="14" ht="21" customHeight="1">
      <x:c r="A14" s="6" t="n">
        <x:v>45845</x:v>
      </x:c>
      <x:c r="B14" s="1" t="str">
        <x:v>HH-EVERYDAY</x:v>
      </x:c>
      <x:c r="C14" s="1" t="str">
        <x:v>HH-NGUYEN</x:v>
      </x:c>
      <x:c r="D14" s="1" t="str">
        <x:v>Little Gum Early Learning</x:v>
      </x:c>
      <x:c r="E14" s="7" t="n">
        <x:v>-285</x:v>
      </x:c>
      <x:c r="F14" s="7" t="n">
        <x:v>18090.12</x:v>
      </x:c>
      <x:c r="G14" s="1" t="str">
        <x:v>expense</x:v>
      </x:c>
      <x:c r="H14" s="1" t="str">
        <x:v>childcare</x:v>
      </x:c>
      <x:c r="I14" s="1" t="str">
        <x:v>TX-0004</x:v>
      </x:c>
      <x:c r="J14" s="1" t="str"/>
      <x:c r="K14" s="1" t="str"/>
      <x:c r="L14" s="1" t="str">
        <x:v>2025-07</x:v>
      </x:c>
    </x:row>
    <x:row r="15" ht="21" customHeight="1">
      <x:c r="A15" s="6" t="n">
        <x:v>45846</x:v>
      </x:c>
      <x:c r="B15" s="1" t="str">
        <x:v>HH-EVERYDAY</x:v>
      </x:c>
      <x:c r="C15" s="1" t="str">
        <x:v>HH-NGUYEN</x:v>
      </x:c>
      <x:c r="D15" s="1" t="str">
        <x:v>Southern Example Energy DIRECT DEBIT</x:v>
      </x:c>
      <x:c r="E15" s="7" t="n">
        <x:v>-186.45</x:v>
      </x:c>
      <x:c r="F15" s="7" t="n">
        <x:v>17903.67</x:v>
      </x:c>
      <x:c r="G15" s="1" t="str">
        <x:v>expense</x:v>
      </x:c>
      <x:c r="H15" s="1" t="str">
        <x:v>utilities</x:v>
      </x:c>
      <x:c r="I15" s="1" t="str">
        <x:v>TX-0062</x:v>
      </x:c>
      <x:c r="J15" s="1" t="str"/>
      <x:c r="K15" s="1" t="str"/>
      <x:c r="L15" s="1" t="str">
        <x:v>2025-07</x:v>
      </x:c>
    </x:row>
    <x:row r="16" ht="21" customHeight="1">
      <x:c r="A16" s="6" t="n">
        <x:v>45847</x:v>
      </x:c>
      <x:c r="B16" s="1" t="str">
        <x:v>HH-CARD</x:v>
      </x:c>
      <x:c r="C16" s="1" t="str">
        <x:v>HH-NGUYEN</x:v>
      </x:c>
      <x:c r="D16" s="1" t="str">
        <x:v>Banksia Cafe, Sampleton</x:v>
      </x:c>
      <x:c r="E16" s="7" t="n">
        <x:v>-6</x:v>
      </x:c>
      <x:c r="F16" s="7" t="n">
        <x:v>-676.5</x:v>
      </x:c>
      <x:c r="G16" s="1" t="str">
        <x:v>expense</x:v>
      </x:c>
      <x:c r="H16" s="1" t="str">
        <x:v>dining</x:v>
      </x:c>
      <x:c r="I16" s="1" t="str">
        <x:v>TX-0005</x:v>
      </x:c>
      <x:c r="J16" s="1" t="str"/>
      <x:c r="K16" s="1" t="str"/>
      <x:c r="L16" s="1" t="str">
        <x:v>2025-07</x:v>
      </x:c>
    </x:row>
    <x:row r="17" ht="21" customHeight="1">
      <x:c r="A17" s="6" t="n">
        <x:v>45847</x:v>
      </x:c>
      <x:c r="B17" s="1" t="str">
        <x:v>BIZ-BANK</x:v>
      </x:c>
      <x:c r="C17" s="1" t="str">
        <x:v>BIZ-WATTLE</x:v>
      </x:c>
      <x:c r="D17" s="1" t="str">
        <x:v>Wattle Cloud subscription</x:v>
      </x:c>
      <x:c r="E17" s="7" t="n">
        <x:v>-110</x:v>
      </x:c>
      <x:c r="F17" s="7" t="n">
        <x:v>23190</x:v>
      </x:c>
      <x:c r="G17" s="1" t="str">
        <x:v>expense</x:v>
      </x:c>
      <x:c r="H17" s="1" t="str">
        <x:v>software</x:v>
      </x:c>
      <x:c r="I17" s="1" t="str">
        <x:v>TX-0073</x:v>
      </x:c>
      <x:c r="J17" s="1" t="str"/>
      <x:c r="K17" s="1" t="str"/>
      <x:c r="L17" s="1" t="str">
        <x:v>2025-07</x:v>
      </x:c>
    </x:row>
    <x:row r="18" ht="21" customHeight="1">
      <x:c r="A18" s="6" t="n">
        <x:v>45848</x:v>
      </x:c>
      <x:c r="B18" s="1" t="str">
        <x:v>HH-EVERYDAY</x:v>
      </x:c>
      <x:c r="C18" s="1" t="str">
        <x:v>HH-NGUYEN</x:v>
      </x:c>
      <x:c r="D18" s="1" t="str">
        <x:v>Waratah Office Supplies partial refund</x:v>
      </x:c>
      <x:c r="E18" s="7" t="n">
        <x:v>5</x:v>
      </x:c>
      <x:c r="F18" s="7" t="n">
        <x:v>17908.67</x:v>
      </x:c>
      <x:c r="G18" s="1" t="str">
        <x:v>refund</x:v>
      </x:c>
      <x:c r="H18" s="1" t="str">
        <x:v>office_supplies</x:v>
      </x:c>
      <x:c r="I18" s="1" t="str">
        <x:v>TX-0110</x:v>
      </x:c>
      <x:c r="J18" s="1" t="str"/>
      <x:c r="K18" s="1" t="str"/>
      <x:c r="L18" s="1" t="str">
        <x:v>2025-07</x:v>
      </x:c>
    </x:row>
    <x:row r="19" ht="21" customHeight="1">
      <x:c r="A19" s="6" t="n">
        <x:v>45849</x:v>
      </x:c>
      <x:c r="B19" s="1" t="str">
        <x:v>HH-CARD</x:v>
      </x:c>
      <x:c r="C19" s="1" t="str">
        <x:v>HH-NGUYEN</x:v>
      </x:c>
      <x:c r="D19" s="1" t="str">
        <x:v>Example Fuel Stop</x:v>
      </x:c>
      <x:c r="E19" s="7" t="n">
        <x:v>-68.15</x:v>
      </x:c>
      <x:c r="F19" s="7" t="n">
        <x:v>-744.65</x:v>
      </x:c>
      <x:c r="G19" s="1" t="str">
        <x:v>expense</x:v>
      </x:c>
      <x:c r="H19" s="1" t="str">
        <x:v>transportation</x:v>
      </x:c>
      <x:c r="I19" s="1" t="str">
        <x:v>TX-0006</x:v>
      </x:c>
      <x:c r="J19" s="1" t="str"/>
      <x:c r="K19" s="1" t="str"/>
      <x:c r="L19" s="1" t="str">
        <x:v>2025-07</x:v>
      </x:c>
    </x:row>
    <x:row r="20" ht="21" customHeight="1">
      <x:c r="A20" s="6" t="n">
        <x:v>45849</x:v>
      </x:c>
      <x:c r="B20" s="1" t="str">
        <x:v>HH-EVERYDAY</x:v>
      </x:c>
      <x:c r="C20" s="1" t="str">
        <x:v>HH-NGUYEN</x:v>
      </x:c>
      <x:c r="D20" s="1" t="str">
        <x:v>Sample Cover Home Insurance</x:v>
      </x:c>
      <x:c r="E20" s="7" t="n">
        <x:v>-142.3</x:v>
      </x:c>
      <x:c r="F20" s="7" t="n">
        <x:v>17766.37</x:v>
      </x:c>
      <x:c r="G20" s="1" t="str">
        <x:v>expense</x:v>
      </x:c>
      <x:c r="H20" s="1" t="str">
        <x:v>insurance</x:v>
      </x:c>
      <x:c r="I20" s="1" t="str">
        <x:v>TX-0063</x:v>
      </x:c>
      <x:c r="J20" s="1" t="str"/>
      <x:c r="K20" s="1" t="str"/>
      <x:c r="L20" s="1" t="str">
        <x:v>2025-07</x:v>
      </x:c>
    </x:row>
    <x:row r="21" ht="21" customHeight="1">
      <x:c r="A21" s="6" t="n">
        <x:v>45849</x:v>
      </x:c>
      <x:c r="B21" s="1" t="str">
        <x:v>BIZ-BANK</x:v>
      </x:c>
      <x:c r="C21" s="1" t="str">
        <x:v>BIZ-WATTLE</x:v>
      </x:c>
      <x:c r="D21" s="1" t="str">
        <x:v>Waratah Office Supplies toner</x:v>
      </x:c>
      <x:c r="E21" s="7" t="n">
        <x:v>-110</x:v>
      </x:c>
      <x:c r="F21" s="7" t="n">
        <x:v>23080</x:v>
      </x:c>
      <x:c r="G21" s="1" t="str">
        <x:v>expense</x:v>
      </x:c>
      <x:c r="H21" s="1" t="str">
        <x:v>office_supplies</x:v>
      </x:c>
      <x:c r="I21" s="1" t="str">
        <x:v>TX-0113</x:v>
      </x:c>
      <x:c r="J21" s="1" t="str"/>
      <x:c r="K21" s="1" t="str">
        <x:v>receipt_business_supplies_110.pdf</x:v>
      </x:c>
      <x:c r="L21" s="1" t="str">
        <x:v>2025-07</x:v>
      </x:c>
    </x:row>
    <x:row r="22" ht="21" customHeight="1">
      <x:c r="A22" s="6" t="n">
        <x:v>45850</x:v>
      </x:c>
      <x:c r="B22" s="1" t="str">
        <x:v>HH-EVERYDAY</x:v>
      </x:c>
      <x:c r="C22" s="1" t="str">
        <x:v>HH-NGUYEN</x:v>
      </x:c>
      <x:c r="D22" s="1" t="str">
        <x:v>Green Basket Grocers - Sampleton</x:v>
      </x:c>
      <x:c r="E22" s="7" t="n">
        <x:v>-165.35</x:v>
      </x:c>
      <x:c r="F22" s="7" t="n">
        <x:v>17601.02</x:v>
      </x:c>
      <x:c r="G22" s="1" t="str">
        <x:v>expense</x:v>
      </x:c>
      <x:c r="H22" s="1" t="str">
        <x:v>groceries</x:v>
      </x:c>
      <x:c r="I22" s="1" t="str">
        <x:v>TX-0007</x:v>
      </x:c>
      <x:c r="J22" s="1" t="str"/>
      <x:c r="K22" s="1" t="str"/>
      <x:c r="L22" s="1" t="str">
        <x:v>2025-07</x:v>
      </x:c>
    </x:row>
    <x:row r="23" ht="21" customHeight="1">
      <x:c r="A23" s="6" t="n">
        <x:v>45851</x:v>
      </x:c>
      <x:c r="B23" s="1" t="str">
        <x:v>BIZ-BANK</x:v>
      </x:c>
      <x:c r="C23" s="1" t="str">
        <x:v>BIZ-WATTLE</x:v>
      </x:c>
      <x:c r="D23" s="1" t="str">
        <x:v>Example Coworking desk fee</x:v>
      </x:c>
      <x:c r="E23" s="7" t="n">
        <x:v>-440</x:v>
      </x:c>
      <x:c r="F23" s="7" t="n">
        <x:v>22640</x:v>
      </x:c>
      <x:c r="G23" s="1" t="str">
        <x:v>expense</x:v>
      </x:c>
      <x:c r="H23" s="1" t="str">
        <x:v>rent_expense</x:v>
      </x:c>
      <x:c r="I23" s="1" t="str">
        <x:v>TX-0074</x:v>
      </x:c>
      <x:c r="J23" s="1" t="str"/>
      <x:c r="K23" s="1" t="str"/>
      <x:c r="L23" s="1" t="str">
        <x:v>2025-07</x:v>
      </x:c>
    </x:row>
    <x:row r="24" ht="21" customHeight="1">
      <x:c r="A24" s="6" t="n">
        <x:v>45852</x:v>
      </x:c>
      <x:c r="B24" s="1" t="str">
        <x:v>HH-EVERYDAY</x:v>
      </x:c>
      <x:c r="C24" s="1" t="str">
        <x:v>HH-NGUYEN</x:v>
      </x:c>
      <x:c r="D24" s="1" t="str">
        <x:v>Little Gum Early Learning</x:v>
      </x:c>
      <x:c r="E24" s="7" t="n">
        <x:v>-285</x:v>
      </x:c>
      <x:c r="F24" s="7" t="n">
        <x:v>17316.02</x:v>
      </x:c>
      <x:c r="G24" s="1" t="str">
        <x:v>expense</x:v>
      </x:c>
      <x:c r="H24" s="1" t="str">
        <x:v>childcare</x:v>
      </x:c>
      <x:c r="I24" s="1" t="str">
        <x:v>TX-0008</x:v>
      </x:c>
      <x:c r="J24" s="1" t="str"/>
      <x:c r="K24" s="1" t="str"/>
      <x:c r="L24" s="1" t="str">
        <x:v>2025-07</x:v>
      </x:c>
    </x:row>
    <x:row r="25" ht="21" customHeight="1">
      <x:c r="A25" s="6" t="n">
        <x:v>45853</x:v>
      </x:c>
      <x:c r="B25" s="1" t="str">
        <x:v>HH-EVERYDAY</x:v>
      </x:c>
      <x:c r="C25" s="1" t="str">
        <x:v>HH-NGUYEN</x:v>
      </x:c>
      <x:c r="D25" s="1" t="str">
        <x:v>PAYROLL Example Health Services - Morgan</x:v>
      </x:c>
      <x:c r="E25" s="7" t="n">
        <x:v>2400</x:v>
      </x:c>
      <x:c r="F25" s="7" t="n">
        <x:v>19716.02</x:v>
      </x:c>
      <x:c r="G25" s="1" t="str">
        <x:v>income</x:v>
      </x:c>
      <x:c r="H25" s="1" t="str">
        <x:v>salary</x:v>
      </x:c>
      <x:c r="I25" s="1" t="str">
        <x:v>TX-0060</x:v>
      </x:c>
      <x:c r="J25" s="1" t="str"/>
      <x:c r="K25" s="1" t="str"/>
      <x:c r="L25" s="1" t="str">
        <x:v>2025-07</x:v>
      </x:c>
    </x:row>
    <x:row r="26" ht="21" customHeight="1">
      <x:c r="A26" s="6" t="n">
        <x:v>45854</x:v>
      </x:c>
      <x:c r="B26" s="1" t="str">
        <x:v>HH-CARD</x:v>
      </x:c>
      <x:c r="C26" s="1" t="str">
        <x:v>HH-NGUYEN</x:v>
      </x:c>
      <x:c r="D26" s="1" t="str">
        <x:v>Banksia Cafe, Sampleton</x:v>
      </x:c>
      <x:c r="E26" s="7" t="n">
        <x:v>-6.5</x:v>
      </x:c>
      <x:c r="F26" s="7" t="n">
        <x:v>-751.15</x:v>
      </x:c>
      <x:c r="G26" s="1" t="str">
        <x:v>expense</x:v>
      </x:c>
      <x:c r="H26" s="1" t="str">
        <x:v>dining</x:v>
      </x:c>
      <x:c r="I26" s="1" t="str">
        <x:v>TX-0009</x:v>
      </x:c>
      <x:c r="J26" s="1" t="str"/>
      <x:c r="K26" s="1" t="str"/>
      <x:c r="L26" s="1" t="str">
        <x:v>2025-07</x:v>
      </x:c>
    </x:row>
    <x:row r="27" ht="21" customHeight="1">
      <x:c r="A27" s="6" t="n">
        <x:v>45854</x:v>
      </x:c>
      <x:c r="B27" s="1" t="str">
        <x:v>HH-EVERYDAY</x:v>
      </x:c>
      <x:c r="C27" s="1" t="str">
        <x:v>HH-NGUYEN</x:v>
      </x:c>
      <x:c r="D27" s="1" t="str">
        <x:v>Transfer to HH-SAVINGS</x:v>
      </x:c>
      <x:c r="E27" s="7" t="n">
        <x:v>-1000</x:v>
      </x:c>
      <x:c r="F27" s="7" t="n">
        <x:v>18716.02</x:v>
      </x:c>
      <x:c r="G27" s="1" t="str">
        <x:v>transfer</x:v>
      </x:c>
      <x:c r="H27" s="1" t="str"/>
      <x:c r="I27" s="1" t="str">
        <x:v>TX-0065</x:v>
      </x:c>
      <x:c r="J27" s="1" t="str">
        <x:v>SAVE-7</x:v>
      </x:c>
      <x:c r="K27" s="1" t="str"/>
      <x:c r="L27" s="1" t="str">
        <x:v>2025-07</x:v>
      </x:c>
    </x:row>
    <x:row r="28" ht="21" customHeight="1">
      <x:c r="A28" s="6" t="n">
        <x:v>45854</x:v>
      </x:c>
      <x:c r="B28" s="1" t="str">
        <x:v>HH-SAVINGS</x:v>
      </x:c>
      <x:c r="C28" s="1" t="str">
        <x:v>HH-NGUYEN</x:v>
      </x:c>
      <x:c r="D28" s="1" t="str">
        <x:v>Transfer from HH-EVERYDAY</x:v>
      </x:c>
      <x:c r="E28" s="7" t="n">
        <x:v>1000</x:v>
      </x:c>
      <x:c r="F28" s="7" t="n">
        <x:v>26000</x:v>
      </x:c>
      <x:c r="G28" s="1" t="str">
        <x:v>transfer</x:v>
      </x:c>
      <x:c r="H28" s="1" t="str"/>
      <x:c r="I28" s="1" t="str">
        <x:v>TX-0066</x:v>
      </x:c>
      <x:c r="J28" s="1" t="str">
        <x:v>SAVE-7</x:v>
      </x:c>
      <x:c r="K28" s="1" t="str"/>
      <x:c r="L28" s="1" t="str">
        <x:v>2025-07</x:v>
      </x:c>
    </x:row>
    <x:row r="29" ht="21" customHeight="1">
      <x:c r="A29" s="6" t="n">
        <x:v>45855</x:v>
      </x:c>
      <x:c r="B29" s="1" t="str">
        <x:v>HH-EVERYDAY</x:v>
      </x:c>
      <x:c r="C29" s="1" t="str">
        <x:v>HH-NGUYEN</x:v>
      </x:c>
      <x:c r="D29" s="1" t="str">
        <x:v>PAYROLL Eucalyptus Engineering - Alex</x:v>
      </x:c>
      <x:c r="E29" s="7" t="n">
        <x:v>3650</x:v>
      </x:c>
      <x:c r="F29" s="7" t="n">
        <x:v>22366.02</x:v>
      </x:c>
      <x:c r="G29" s="1" t="str">
        <x:v>income</x:v>
      </x:c>
      <x:c r="H29" s="1" t="str">
        <x:v>salary</x:v>
      </x:c>
      <x:c r="I29" s="1" t="str">
        <x:v>TX-0054</x:v>
      </x:c>
      <x:c r="J29" s="1" t="str"/>
      <x:c r="K29" s="1" t="str"/>
      <x:c r="L29" s="1" t="str">
        <x:v>2025-07</x:v>
      </x:c>
    </x:row>
    <x:row r="30" ht="21" customHeight="1">
      <x:c r="A30" s="6" t="n">
        <x:v>45856</x:v>
      </x:c>
      <x:c r="B30" s="1" t="str">
        <x:v>HH-CARD</x:v>
      </x:c>
      <x:c r="C30" s="1" t="str">
        <x:v>HH-NGUYEN</x:v>
      </x:c>
      <x:c r="D30" s="1" t="str">
        <x:v>Example Fuel Stop</x:v>
      </x:c>
      <x:c r="E30" s="7" t="n">
        <x:v>-71.3</x:v>
      </x:c>
      <x:c r="F30" s="7" t="n">
        <x:v>-822.45</x:v>
      </x:c>
      <x:c r="G30" s="1" t="str">
        <x:v>expense</x:v>
      </x:c>
      <x:c r="H30" s="1" t="str">
        <x:v>transportation</x:v>
      </x:c>
      <x:c r="I30" s="1" t="str">
        <x:v>TX-0010</x:v>
      </x:c>
      <x:c r="J30" s="1" t="str"/>
      <x:c r="K30" s="1" t="str"/>
      <x:c r="L30" s="1" t="str">
        <x:v>2025-07</x:v>
      </x:c>
    </x:row>
    <x:row r="31" ht="21" customHeight="1">
      <x:c r="A31" s="6" t="n">
        <x:v>45856</x:v>
      </x:c>
      <x:c r="B31" s="1" t="str">
        <x:v>HH-EVERYDAY</x:v>
      </x:c>
      <x:c r="C31" s="1" t="str">
        <x:v>HH-NGUYEN</x:v>
      </x:c>
      <x:c r="D31" s="1" t="str">
        <x:v>Transit wallet top-up</x:v>
      </x:c>
      <x:c r="E31" s="7" t="n">
        <x:v>-80</x:v>
      </x:c>
      <x:c r="F31" s="7" t="n">
        <x:v>22286.02</x:v>
      </x:c>
      <x:c r="G31" s="1" t="str">
        <x:v>expense</x:v>
      </x:c>
      <x:c r="H31" s="1" t="str">
        <x:v>transportation</x:v>
      </x:c>
      <x:c r="I31" s="1" t="str">
        <x:v>TX-0064</x:v>
      </x:c>
      <x:c r="J31" s="1" t="str"/>
      <x:c r="K31" s="1" t="str"/>
      <x:c r="L31" s="1" t="str">
        <x:v>2025-07</x:v>
      </x:c>
    </x:row>
    <x:row r="32" ht="21" customHeight="1">
      <x:c r="A32" s="6" t="n">
        <x:v>45857</x:v>
      </x:c>
      <x:c r="B32" s="1" t="str">
        <x:v>HH-EVERYDAY</x:v>
      </x:c>
      <x:c r="C32" s="1" t="str">
        <x:v>HH-NGUYEN</x:v>
      </x:c>
      <x:c r="D32" s="1" t="str">
        <x:v>Green Basket Grocers - Sampleton</x:v>
      </x:c>
      <x:c r="E32" s="7" t="n">
        <x:v>-172.7</x:v>
      </x:c>
      <x:c r="F32" s="7" t="n">
        <x:v>22113.32</x:v>
      </x:c>
      <x:c r="G32" s="1" t="str">
        <x:v>expense</x:v>
      </x:c>
      <x:c r="H32" s="1" t="str">
        <x:v>groceries</x:v>
      </x:c>
      <x:c r="I32" s="1" t="str">
        <x:v>TX-0011</x:v>
      </x:c>
      <x:c r="J32" s="1" t="str"/>
      <x:c r="K32" s="1" t="str"/>
      <x:c r="L32" s="1" t="str">
        <x:v>2025-07</x:v>
      </x:c>
    </x:row>
    <x:row r="33" ht="21" customHeight="1">
      <x:c r="A33" s="6" t="n">
        <x:v>45857</x:v>
      </x:c>
      <x:c r="B33" s="1" t="str">
        <x:v>BIZ-BANK</x:v>
      </x:c>
      <x:c r="C33" s="1" t="str">
        <x:v>BIZ-WATTLE</x:v>
      </x:c>
      <x:c r="D33" s="1" t="str">
        <x:v>Client payment WD-07-19</x:v>
      </x:c>
      <x:c r="E33" s="7" t="n">
        <x:v>2200</x:v>
      </x:c>
      <x:c r="F33" s="7" t="n">
        <x:v>24840</x:v>
      </x:c>
      <x:c r="G33" s="1" t="str">
        <x:v>business_receipt</x:v>
      </x:c>
      <x:c r="H33" s="1" t="str">
        <x:v>business_income</x:v>
      </x:c>
      <x:c r="I33" s="1" t="str">
        <x:v>TX-0072</x:v>
      </x:c>
      <x:c r="J33" s="1" t="str"/>
      <x:c r="K33" s="1" t="str"/>
      <x:c r="L33" s="1" t="str">
        <x:v>2025-07</x:v>
      </x:c>
    </x:row>
    <x:row r="34" ht="21" customHeight="1">
      <x:c r="A34" s="6" t="n">
        <x:v>45859</x:v>
      </x:c>
      <x:c r="B34" s="1" t="str">
        <x:v>HH-EVERYDAY</x:v>
      </x:c>
      <x:c r="C34" s="1" t="str">
        <x:v>HH-NGUYEN</x:v>
      </x:c>
      <x:c r="D34" s="1" t="str">
        <x:v>Little Gum Early Learning</x:v>
      </x:c>
      <x:c r="E34" s="7" t="n">
        <x:v>-285</x:v>
      </x:c>
      <x:c r="F34" s="7" t="n">
        <x:v>21828.32</x:v>
      </x:c>
      <x:c r="G34" s="1" t="str">
        <x:v>expense</x:v>
      </x:c>
      <x:c r="H34" s="1" t="str">
        <x:v>childcare</x:v>
      </x:c>
      <x:c r="I34" s="1" t="str">
        <x:v>TX-0012</x:v>
      </x:c>
      <x:c r="J34" s="1" t="str"/>
      <x:c r="K34" s="1" t="str"/>
      <x:c r="L34" s="1" t="str">
        <x:v>2025-07</x:v>
      </x:c>
    </x:row>
    <x:row r="35" ht="21" customHeight="1">
      <x:c r="A35" s="6" t="n">
        <x:v>45859</x:v>
      </x:c>
      <x:c r="B35" s="1" t="str">
        <x:v>BIZ-BANK</x:v>
      </x:c>
      <x:c r="C35" s="1" t="str">
        <x:v>BIZ-WATTLE</x:v>
      </x:c>
      <x:c r="D35" s="1" t="str">
        <x:v>Print &amp; Paper Co stationery</x:v>
      </x:c>
      <x:c r="E35" s="7" t="n">
        <x:v>-55</x:v>
      </x:c>
      <x:c r="F35" s="7" t="n">
        <x:v>24785</x:v>
      </x:c>
      <x:c r="G35" s="1" t="str">
        <x:v>expense</x:v>
      </x:c>
      <x:c r="H35" s="1" t="str">
        <x:v>office_supplies</x:v>
      </x:c>
      <x:c r="I35" s="1" t="str">
        <x:v>TX-0075</x:v>
      </x:c>
      <x:c r="J35" s="1" t="str"/>
      <x:c r="K35" s="1" t="str"/>
      <x:c r="L35" s="1" t="str">
        <x:v>2025-07</x:v>
      </x:c>
    </x:row>
    <x:row r="36" ht="21" customHeight="1">
      <x:c r="A36" s="6" t="n">
        <x:v>45861</x:v>
      </x:c>
      <x:c r="B36" s="1" t="str">
        <x:v>HH-CARD</x:v>
      </x:c>
      <x:c r="C36" s="1" t="str">
        <x:v>HH-NGUYEN</x:v>
      </x:c>
      <x:c r="D36" s="1" t="str">
        <x:v>Banksia Cafe, Sampleton</x:v>
      </x:c>
      <x:c r="E36" s="7" t="n">
        <x:v>-5.5</x:v>
      </x:c>
      <x:c r="F36" s="7" t="n">
        <x:v>-827.95</x:v>
      </x:c>
      <x:c r="G36" s="1" t="str">
        <x:v>expense</x:v>
      </x:c>
      <x:c r="H36" s="1" t="str">
        <x:v>dining</x:v>
      </x:c>
      <x:c r="I36" s="1" t="str">
        <x:v>TX-0013</x:v>
      </x:c>
      <x:c r="J36" s="1" t="str"/>
      <x:c r="K36" s="1" t="str"/>
      <x:c r="L36" s="1" t="str">
        <x:v>2025-07</x:v>
      </x:c>
    </x:row>
    <x:row r="37" ht="21" customHeight="1">
      <x:c r="A37" s="6" t="n">
        <x:v>45863</x:v>
      </x:c>
      <x:c r="B37" s="1" t="str">
        <x:v>HH-CARD</x:v>
      </x:c>
      <x:c r="C37" s="1" t="str">
        <x:v>HH-NGUYEN</x:v>
      </x:c>
      <x:c r="D37" s="1" t="str">
        <x:v>Example Fuel Stop</x:v>
      </x:c>
      <x:c r="E37" s="7" t="n">
        <x:v>-74.45</x:v>
      </x:c>
      <x:c r="F37" s="7" t="n">
        <x:v>-902.4</x:v>
      </x:c>
      <x:c r="G37" s="1" t="str">
        <x:v>expense</x:v>
      </x:c>
      <x:c r="H37" s="1" t="str">
        <x:v>transportation</x:v>
      </x:c>
      <x:c r="I37" s="1" t="str">
        <x:v>TX-0014</x:v>
      </x:c>
      <x:c r="J37" s="1" t="str"/>
      <x:c r="K37" s="1" t="str"/>
      <x:c r="L37" s="1" t="str">
        <x:v>2025-07</x:v>
      </x:c>
    </x:row>
    <x:row r="38" ht="21" customHeight="1">
      <x:c r="A38" s="6" t="n">
        <x:v>45863</x:v>
      </x:c>
      <x:c r="B38" s="1" t="str">
        <x:v>HH-RENTAL</x:v>
      </x:c>
      <x:c r="C38" s="1" t="str">
        <x:v>HH-NGUYEN</x:v>
      </x:c>
      <x:c r="D38" s="1" t="str">
        <x:v>Paperbark Property Managers NET RENT 07</x:v>
      </x:c>
      <x:c r="E38" s="7" t="n">
        <x:v>2418</x:v>
      </x:c>
      <x:c r="F38" s="7" t="n">
        <x:v>7418</x:v>
      </x:c>
      <x:c r="G38" s="1" t="str">
        <x:v>rental_net_remittance</x:v>
      </x:c>
      <x:c r="H38" s="1" t="str">
        <x:v>needs_split</x:v>
      </x:c>
      <x:c r="I38" s="1" t="str">
        <x:v>TX-0068</x:v>
      </x:c>
      <x:c r="J38" s="1" t="str"/>
      <x:c r="K38" s="1" t="str"/>
      <x:c r="L38" s="1" t="str">
        <x:v>2025-07</x:v>
      </x:c>
    </x:row>
    <x:row r="39" ht="21" customHeight="1">
      <x:c r="A39" s="6" t="n">
        <x:v>45864</x:v>
      </x:c>
      <x:c r="B39" s="1" t="str">
        <x:v>HH-EVERYDAY</x:v>
      </x:c>
      <x:c r="C39" s="1" t="str">
        <x:v>HH-NGUYEN</x:v>
      </x:c>
      <x:c r="D39" s="1" t="str">
        <x:v>Green Basket Grocers - Sampleton</x:v>
      </x:c>
      <x:c r="E39" s="7" t="n">
        <x:v>-180.05</x:v>
      </x:c>
      <x:c r="F39" s="7" t="n">
        <x:v>21648.27</x:v>
      </x:c>
      <x:c r="G39" s="1" t="str">
        <x:v>expense</x:v>
      </x:c>
      <x:c r="H39" s="1" t="str">
        <x:v>groceries</x:v>
      </x:c>
      <x:c r="I39" s="1" t="str">
        <x:v>TX-0015</x:v>
      </x:c>
      <x:c r="J39" s="1" t="str"/>
      <x:c r="K39" s="1" t="str"/>
      <x:c r="L39" s="1" t="str">
        <x:v>2025-07</x:v>
      </x:c>
    </x:row>
    <x:row r="40" ht="21" customHeight="1">
      <x:c r="A40" s="6" t="n">
        <x:v>45866</x:v>
      </x:c>
      <x:c r="B40" s="1" t="str">
        <x:v>HH-EVERYDAY</x:v>
      </x:c>
      <x:c r="C40" s="1" t="str">
        <x:v>HH-NGUYEN</x:v>
      </x:c>
      <x:c r="D40" s="1" t="str">
        <x:v>Little Gum Early Learning</x:v>
      </x:c>
      <x:c r="E40" s="7" t="n">
        <x:v>-285</x:v>
      </x:c>
      <x:c r="F40" s="7" t="n">
        <x:v>21363.27</x:v>
      </x:c>
      <x:c r="G40" s="1" t="str">
        <x:v>expense</x:v>
      </x:c>
      <x:c r="H40" s="1" t="str">
        <x:v>childcare</x:v>
      </x:c>
      <x:c r="I40" s="1" t="str">
        <x:v>TX-0016</x:v>
      </x:c>
      <x:c r="J40" s="1" t="str"/>
      <x:c r="K40" s="1" t="str"/>
      <x:c r="L40" s="1" t="str">
        <x:v>2025-07</x:v>
      </x:c>
    </x:row>
    <x:row r="41" ht="21" customHeight="1">
      <x:c r="A41" s="6" t="n">
        <x:v>45866</x:v>
      </x:c>
      <x:c r="B41" s="1" t="str">
        <x:v>HH-EVERYDAY</x:v>
      </x:c>
      <x:c r="C41" s="1" t="str">
        <x:v>HH-NGUYEN</x:v>
      </x:c>
      <x:c r="D41" s="1" t="str">
        <x:v>Transfer to HH-CARD</x:v>
      </x:c>
      <x:c r="E41" s="7" t="n">
        <x:v>-902.4</x:v>
      </x:c>
      <x:c r="F41" s="7" t="n">
        <x:v>20460.87</x:v>
      </x:c>
      <x:c r="G41" s="1" t="str">
        <x:v>card_repayment</x:v>
      </x:c>
      <x:c r="H41" s="1" t="str"/>
      <x:c r="I41" s="1" t="str">
        <x:v>TX-0114</x:v>
      </x:c>
      <x:c r="J41" s="1" t="str">
        <x:v>CARD-7</x:v>
      </x:c>
      <x:c r="K41" s="1" t="str"/>
      <x:c r="L41" s="1" t="str">
        <x:v>2025-07</x:v>
      </x:c>
    </x:row>
    <x:row r="42" ht="21" customHeight="1">
      <x:c r="A42" s="6" t="n">
        <x:v>45866</x:v>
      </x:c>
      <x:c r="B42" s="1" t="str">
        <x:v>HH-CARD</x:v>
      </x:c>
      <x:c r="C42" s="1" t="str">
        <x:v>HH-NGUYEN</x:v>
      </x:c>
      <x:c r="D42" s="1" t="str">
        <x:v>Transfer from HH-EVERYDAY</x:v>
      </x:c>
      <x:c r="E42" s="7" t="n">
        <x:v>902.4</x:v>
      </x:c>
      <x:c r="F42" s="7" t="n">
        <x:v>0</x:v>
      </x:c>
      <x:c r="G42" s="1" t="str">
        <x:v>card_repayment</x:v>
      </x:c>
      <x:c r="H42" s="1" t="str"/>
      <x:c r="I42" s="1" t="str">
        <x:v>TX-0115</x:v>
      </x:c>
      <x:c r="J42" s="1" t="str">
        <x:v>CARD-7</x:v>
      </x:c>
      <x:c r="K42" s="1" t="str"/>
      <x:c r="L42" s="1" t="str">
        <x:v>2025-07</x:v>
      </x:c>
    </x:row>
    <x:row r="43" ht="21" customHeight="1">
      <x:c r="A43" s="6" t="n">
        <x:v>45868</x:v>
      </x:c>
      <x:c r="B43" s="1" t="str">
        <x:v>HH-CARD</x:v>
      </x:c>
      <x:c r="C43" s="1" t="str">
        <x:v>HH-NGUYEN</x:v>
      </x:c>
      <x:c r="D43" s="1" t="str">
        <x:v>Banksia Cafe, Sampleton</x:v>
      </x:c>
      <x:c r="E43" s="7" t="n">
        <x:v>-6</x:v>
      </x:c>
      <x:c r="F43" s="7" t="n">
        <x:v>-6</x:v>
      </x:c>
      <x:c r="G43" s="1" t="str">
        <x:v>expense</x:v>
      </x:c>
      <x:c r="H43" s="1" t="str">
        <x:v>dining</x:v>
      </x:c>
      <x:c r="I43" s="1" t="str">
        <x:v>TX-0017</x:v>
      </x:c>
      <x:c r="J43" s="1" t="str"/>
      <x:c r="K43" s="1" t="str"/>
      <x:c r="L43" s="1" t="str">
        <x:v>2025-07</x:v>
      </x:c>
    </x:row>
    <x:row r="44" ht="21" customHeight="1">
      <x:c r="A44" s="6" t="n">
        <x:v>45868</x:v>
      </x:c>
      <x:c r="B44" s="1" t="str">
        <x:v>HH-SAVINGS</x:v>
      </x:c>
      <x:c r="C44" s="1" t="str">
        <x:v>HH-NGUYEN</x:v>
      </x:c>
      <x:c r="D44" s="1" t="str">
        <x:v>Monthly interest credit</x:v>
      </x:c>
      <x:c r="E44" s="7" t="n">
        <x:v>94.25</x:v>
      </x:c>
      <x:c r="F44" s="7" t="n">
        <x:v>26094.25</x:v>
      </x:c>
      <x:c r="G44" s="1" t="str">
        <x:v>income</x:v>
      </x:c>
      <x:c r="H44" s="1" t="str">
        <x:v>interest_income</x:v>
      </x:c>
      <x:c r="I44" s="1" t="str">
        <x:v>TX-0067</x:v>
      </x:c>
      <x:c r="J44" s="1" t="str"/>
      <x:c r="K44" s="1" t="str"/>
      <x:c r="L44" s="1" t="str">
        <x:v>2025-07</x:v>
      </x:c>
    </x:row>
    <x:row r="45" ht="21" customHeight="1">
      <x:c r="A45" s="6" t="n">
        <x:v>45869</x:v>
      </x:c>
      <x:c r="B45" s="1" t="str">
        <x:v>HH-EVERYDAY</x:v>
      </x:c>
      <x:c r="C45" s="1" t="str">
        <x:v>HH-NGUYEN</x:v>
      </x:c>
      <x:c r="D45" s="1" t="str">
        <x:v>PAYROLL Eucalyptus Engineering - Alex</x:v>
      </x:c>
      <x:c r="E45" s="7" t="n">
        <x:v>3650</x:v>
      </x:c>
      <x:c r="F45" s="7" t="n">
        <x:v>24110.87</x:v>
      </x:c>
      <x:c r="G45" s="1" t="str">
        <x:v>income</x:v>
      </x:c>
      <x:c r="H45" s="1" t="str">
        <x:v>salary</x:v>
      </x:c>
      <x:c r="I45" s="1" t="str">
        <x:v>TX-0055</x:v>
      </x:c>
      <x:c r="J45" s="1" t="str"/>
      <x:c r="K45" s="1" t="str"/>
      <x:c r="L45" s="1" t="str">
        <x:v>2025-07</x:v>
      </x:c>
    </x:row>
    <x:row r="46" ht="21" customHeight="1">
      <x:c r="A46" s="6" t="n">
        <x:v>45869</x:v>
      </x:c>
      <x:c r="B46" s="1" t="str">
        <x:v>HH-EVERYDAY</x:v>
      </x:c>
      <x:c r="C46" s="1" t="str">
        <x:v>HH-NGUYEN</x:v>
      </x:c>
      <x:c r="D46" s="1" t="str">
        <x:v>Southern Example Bank HOME-LOAN repayment</x:v>
      </x:c>
      <x:c r="E46" s="7" t="n">
        <x:v>-3151.17</x:v>
      </x:c>
      <x:c r="F46" s="7" t="n">
        <x:v>20959.7</x:v>
      </x:c>
      <x:c r="G46" s="1" t="str">
        <x:v>loan_repayment</x:v>
      </x:c>
      <x:c r="H46" s="1" t="str">
        <x:v>principal_and_interest</x:v>
      </x:c>
      <x:c r="I46" s="1" t="str">
        <x:v>TX-0069</x:v>
      </x:c>
      <x:c r="J46" s="1" t="str">
        <x:v>HOME-LOAN-7</x:v>
      </x:c>
      <x:c r="K46" s="1" t="str"/>
      <x:c r="L46" s="1" t="str">
        <x:v>2025-07</x:v>
      </x:c>
    </x:row>
    <x:row r="47" ht="21" customHeight="1">
      <x:c r="A47" s="6" t="n">
        <x:v>45869</x:v>
      </x:c>
      <x:c r="B47" s="1" t="str">
        <x:v>HH-RENTAL</x:v>
      </x:c>
      <x:c r="C47" s="1" t="str">
        <x:v>HH-NGUYEN</x:v>
      </x:c>
      <x:c r="D47" s="1" t="str">
        <x:v>Southern Example Bank RENTAL-LOAN repayment</x:v>
      </x:c>
      <x:c r="E47" s="7" t="n">
        <x:v>-2742.78</x:v>
      </x:c>
      <x:c r="F47" s="7" t="n">
        <x:v>4675.22</x:v>
      </x:c>
      <x:c r="G47" s="1" t="str">
        <x:v>loan_repayment</x:v>
      </x:c>
      <x:c r="H47" s="1" t="str">
        <x:v>principal_and_interest</x:v>
      </x:c>
      <x:c r="I47" s="1" t="str">
        <x:v>TX-0070</x:v>
      </x:c>
      <x:c r="J47" s="1" t="str">
        <x:v>RENTAL-LOAN-7</x:v>
      </x:c>
      <x:c r="K47" s="1" t="str"/>
      <x:c r="L47" s="1" t="str">
        <x:v>2025-07</x:v>
      </x:c>
    </x:row>
    <x:row r="48" ht="21" customHeight="1">
      <x:c r="A48" s="6" t="n">
        <x:v>45870</x:v>
      </x:c>
      <x:c r="B48" s="1" t="str">
        <x:v>HH-CARD</x:v>
      </x:c>
      <x:c r="C48" s="1" t="str">
        <x:v>HH-NGUYEN</x:v>
      </x:c>
      <x:c r="D48" s="1" t="str">
        <x:v>Example Fuel Stop</x:v>
      </x:c>
      <x:c r="E48" s="7" t="n">
        <x:v>-65</x:v>
      </x:c>
      <x:c r="F48" s="7" t="n">
        <x:v>-71</x:v>
      </x:c>
      <x:c r="G48" s="1" t="str">
        <x:v>expense</x:v>
      </x:c>
      <x:c r="H48" s="1" t="str">
        <x:v>transportation</x:v>
      </x:c>
      <x:c r="I48" s="1" t="str">
        <x:v>TX-0018</x:v>
      </x:c>
      <x:c r="J48" s="1" t="str"/>
      <x:c r="K48" s="1" t="str"/>
      <x:c r="L48" s="1" t="str">
        <x:v>2025-08</x:v>
      </x:c>
    </x:row>
    <x:row r="49" ht="21" customHeight="1">
      <x:c r="A49" s="6" t="n">
        <x:v>45871</x:v>
      </x:c>
      <x:c r="B49" s="1" t="str">
        <x:v>HH-EVERYDAY</x:v>
      </x:c>
      <x:c r="C49" s="1" t="str">
        <x:v>HH-NGUYEN</x:v>
      </x:c>
      <x:c r="D49" s="1" t="str">
        <x:v>Green Basket Grocers - Sampleton</x:v>
      </x:c>
      <x:c r="E49" s="7" t="n">
        <x:v>-187.4</x:v>
      </x:c>
      <x:c r="F49" s="7" t="n">
        <x:v>20772.3</x:v>
      </x:c>
      <x:c r="G49" s="1" t="str">
        <x:v>expense</x:v>
      </x:c>
      <x:c r="H49" s="1" t="str">
        <x:v>groceries</x:v>
      </x:c>
      <x:c r="I49" s="1" t="str">
        <x:v>TX-0019</x:v>
      </x:c>
      <x:c r="J49" s="1" t="str"/>
      <x:c r="K49" s="1" t="str"/>
      <x:c r="L49" s="1" t="str">
        <x:v>2025-08</x:v>
      </x:c>
    </x:row>
    <x:row r="50" ht="21" customHeight="1">
      <x:c r="A50" s="6" t="n">
        <x:v>45873</x:v>
      </x:c>
      <x:c r="B50" s="1" t="str">
        <x:v>HH-EVERYDAY</x:v>
      </x:c>
      <x:c r="C50" s="1" t="str">
        <x:v>HH-NGUYEN</x:v>
      </x:c>
      <x:c r="D50" s="1" t="str">
        <x:v>Little Gum Early Learning</x:v>
      </x:c>
      <x:c r="E50" s="7" t="n">
        <x:v>-285</x:v>
      </x:c>
      <x:c r="F50" s="7" t="n">
        <x:v>20487.3</x:v>
      </x:c>
      <x:c r="G50" s="1" t="str">
        <x:v>expense</x:v>
      </x:c>
      <x:c r="H50" s="1" t="str">
        <x:v>childcare</x:v>
      </x:c>
      <x:c r="I50" s="1" t="str">
        <x:v>TX-0020</x:v>
      </x:c>
      <x:c r="J50" s="1" t="str"/>
      <x:c r="K50" s="1" t="str"/>
      <x:c r="L50" s="1" t="str">
        <x:v>2025-08</x:v>
      </x:c>
    </x:row>
    <x:row r="51" ht="21" customHeight="1">
      <x:c r="A51" s="6" t="n">
        <x:v>45874</x:v>
      </x:c>
      <x:c r="B51" s="1" t="str">
        <x:v>BIZ-BANK</x:v>
      </x:c>
      <x:c r="C51" s="1" t="str">
        <x:v>BIZ-WATTLE</x:v>
      </x:c>
      <x:c r="D51" s="1" t="str">
        <x:v>Client payment WD-08-05</x:v>
      </x:c>
      <x:c r="E51" s="7" t="n">
        <x:v>3300</x:v>
      </x:c>
      <x:c r="F51" s="7" t="n">
        <x:v>28085</x:v>
      </x:c>
      <x:c r="G51" s="1" t="str">
        <x:v>business_receipt</x:v>
      </x:c>
      <x:c r="H51" s="1" t="str">
        <x:v>business_income</x:v>
      </x:c>
      <x:c r="I51" s="1" t="str">
        <x:v>TX-0087</x:v>
      </x:c>
      <x:c r="J51" s="1" t="str"/>
      <x:c r="K51" s="1" t="str"/>
      <x:c r="L51" s="1" t="str">
        <x:v>2025-08</x:v>
      </x:c>
    </x:row>
    <x:row r="52" ht="21" customHeight="1">
      <x:c r="A52" s="6" t="n">
        <x:v>45875</x:v>
      </x:c>
      <x:c r="B52" s="1" t="str">
        <x:v>HH-CARD</x:v>
      </x:c>
      <x:c r="C52" s="1" t="str">
        <x:v>HH-NGUYEN</x:v>
      </x:c>
      <x:c r="D52" s="1" t="str">
        <x:v>Banksia Cafe, Sampleton</x:v>
      </x:c>
      <x:c r="E52" s="7" t="n">
        <x:v>-6.5</x:v>
      </x:c>
      <x:c r="F52" s="7" t="n">
        <x:v>-77.5</x:v>
      </x:c>
      <x:c r="G52" s="1" t="str">
        <x:v>expense</x:v>
      </x:c>
      <x:c r="H52" s="1" t="str">
        <x:v>dining</x:v>
      </x:c>
      <x:c r="I52" s="1" t="str">
        <x:v>TX-0021</x:v>
      </x:c>
      <x:c r="J52" s="1" t="str"/>
      <x:c r="K52" s="1" t="str"/>
      <x:c r="L52" s="1" t="str">
        <x:v>2025-08</x:v>
      </x:c>
    </x:row>
    <x:row r="53" ht="21" customHeight="1">
      <x:c r="A53" s="6" t="n">
        <x:v>45875</x:v>
      </x:c>
      <x:c r="B53" s="1" t="str">
        <x:v>HH-EVERYDAY</x:v>
      </x:c>
      <x:c r="C53" s="1" t="str">
        <x:v>HH-NGUYEN</x:v>
      </x:c>
      <x:c r="D53" s="1" t="str">
        <x:v>Blue Wren Broadband BPAY</x:v>
      </x:c>
      <x:c r="E53" s="7" t="n">
        <x:v>-79.88</x:v>
      </x:c>
      <x:c r="F53" s="7" t="n">
        <x:v>20407.42</x:v>
      </x:c>
      <x:c r="G53" s="1" t="str">
        <x:v>expense</x:v>
      </x:c>
      <x:c r="H53" s="1" t="str">
        <x:v>utilities</x:v>
      </x:c>
      <x:c r="I53" s="1" t="str">
        <x:v>TX-0077</x:v>
      </x:c>
      <x:c r="J53" s="1" t="str"/>
      <x:c r="K53" s="1" t="str"/>
      <x:c r="L53" s="1" t="str">
        <x:v>2025-08</x:v>
      </x:c>
    </x:row>
    <x:row r="54" ht="21" customHeight="1">
      <x:c r="A54" s="6" t="n">
        <x:v>45877</x:v>
      </x:c>
      <x:c r="B54" s="1" t="str">
        <x:v>HH-CARD</x:v>
      </x:c>
      <x:c r="C54" s="1" t="str">
        <x:v>HH-NGUYEN</x:v>
      </x:c>
      <x:c r="D54" s="1" t="str">
        <x:v>Example Fuel Stop</x:v>
      </x:c>
      <x:c r="E54" s="7" t="n">
        <x:v>-68.15</x:v>
      </x:c>
      <x:c r="F54" s="7" t="n">
        <x:v>-145.65</x:v>
      </x:c>
      <x:c r="G54" s="1" t="str">
        <x:v>expense</x:v>
      </x:c>
      <x:c r="H54" s="1" t="str">
        <x:v>transportation</x:v>
      </x:c>
      <x:c r="I54" s="1" t="str">
        <x:v>TX-0022</x:v>
      </x:c>
      <x:c r="J54" s="1" t="str"/>
      <x:c r="K54" s="1" t="str"/>
      <x:c r="L54" s="1" t="str">
        <x:v>2025-08</x:v>
      </x:c>
    </x:row>
    <x:row r="55" ht="21" customHeight="1">
      <x:c r="A55" s="6" t="n">
        <x:v>45877</x:v>
      </x:c>
      <x:c r="B55" s="1" t="str">
        <x:v>HH-EVERYDAY</x:v>
      </x:c>
      <x:c r="C55" s="1" t="str">
        <x:v>HH-NGUYEN</x:v>
      </x:c>
      <x:c r="D55" s="1" t="str">
        <x:v>Southern Example Energy DIRECT DEBIT</x:v>
      </x:c>
      <x:c r="E55" s="7" t="n">
        <x:v>-205.2</x:v>
      </x:c>
      <x:c r="F55" s="7" t="n">
        <x:v>20202.22</x:v>
      </x:c>
      <x:c r="G55" s="1" t="str">
        <x:v>expense</x:v>
      </x:c>
      <x:c r="H55" s="1" t="str">
        <x:v>utilities</x:v>
      </x:c>
      <x:c r="I55" s="1" t="str">
        <x:v>TX-0078</x:v>
      </x:c>
      <x:c r="J55" s="1" t="str"/>
      <x:c r="K55" s="1" t="str"/>
      <x:c r="L55" s="1" t="str">
        <x:v>2025-08</x:v>
      </x:c>
    </x:row>
    <x:row r="56" ht="21" customHeight="1">
      <x:c r="A56" s="6" t="n">
        <x:v>45878</x:v>
      </x:c>
      <x:c r="B56" s="1" t="str">
        <x:v>HH-EVERYDAY</x:v>
      </x:c>
      <x:c r="C56" s="1" t="str">
        <x:v>HH-NGUYEN</x:v>
      </x:c>
      <x:c r="D56" s="1" t="str">
        <x:v>Green Basket Grocers - Sampleton</x:v>
      </x:c>
      <x:c r="E56" s="7" t="n">
        <x:v>-158</x:v>
      </x:c>
      <x:c r="F56" s="7" t="n">
        <x:v>20044.22</x:v>
      </x:c>
      <x:c r="G56" s="1" t="str">
        <x:v>expense</x:v>
      </x:c>
      <x:c r="H56" s="1" t="str">
        <x:v>groceries</x:v>
      </x:c>
      <x:c r="I56" s="1" t="str">
        <x:v>TX-0023</x:v>
      </x:c>
      <x:c r="J56" s="1" t="str"/>
      <x:c r="K56" s="1" t="str"/>
      <x:c r="L56" s="1" t="str">
        <x:v>2025-08</x:v>
      </x:c>
    </x:row>
    <x:row r="57" ht="21" customHeight="1">
      <x:c r="A57" s="6" t="n">
        <x:v>45878</x:v>
      </x:c>
      <x:c r="B57" s="1" t="str">
        <x:v>BIZ-BANK</x:v>
      </x:c>
      <x:c r="C57" s="1" t="str">
        <x:v>BIZ-WATTLE</x:v>
      </x:c>
      <x:c r="D57" s="1" t="str">
        <x:v>Wattle Cloud subscription</x:v>
      </x:c>
      <x:c r="E57" s="7" t="n">
        <x:v>-110</x:v>
      </x:c>
      <x:c r="F57" s="7" t="n">
        <x:v>27975</x:v>
      </x:c>
      <x:c r="G57" s="1" t="str">
        <x:v>expense</x:v>
      </x:c>
      <x:c r="H57" s="1" t="str">
        <x:v>software</x:v>
      </x:c>
      <x:c r="I57" s="1" t="str">
        <x:v>TX-0089</x:v>
      </x:c>
      <x:c r="J57" s="1" t="str"/>
      <x:c r="K57" s="1" t="str"/>
      <x:c r="L57" s="1" t="str">
        <x:v>2025-08</x:v>
      </x:c>
    </x:row>
    <x:row r="58" ht="21" customHeight="1">
      <x:c r="A58" s="6" t="n">
        <x:v>45878</x:v>
      </x:c>
      <x:c r="B58" s="1" t="str">
        <x:v>HH-EVERYDAY</x:v>
      </x:c>
      <x:c r="C58" s="1" t="str">
        <x:v>HH-NGUYEN</x:v>
      </x:c>
      <x:c r="D58" s="1" t="str">
        <x:v>Banksia Cafe two separate purchases</x:v>
      </x:c>
      <x:c r="E58" s="7" t="n">
        <x:v>-8.5</x:v>
      </x:c>
      <x:c r="F58" s="7" t="n">
        <x:v>20035.72</x:v>
      </x:c>
      <x:c r="G58" s="1" t="str">
        <x:v>expense</x:v>
      </x:c>
      <x:c r="H58" s="1" t="str">
        <x:v>dining</x:v>
      </x:c>
      <x:c r="I58" s="1" t="str">
        <x:v>TX-0111</x:v>
      </x:c>
      <x:c r="J58" s="1" t="str"/>
      <x:c r="K58" s="1" t="str"/>
      <x:c r="L58" s="1" t="str">
        <x:v>2025-08</x:v>
      </x:c>
    </x:row>
    <x:row r="59" ht="21" customHeight="1">
      <x:c r="A59" s="6" t="n">
        <x:v>45878</x:v>
      </x:c>
      <x:c r="B59" s="1" t="str">
        <x:v>HH-EVERYDAY</x:v>
      </x:c>
      <x:c r="C59" s="1" t="str">
        <x:v>HH-NGUYEN</x:v>
      </x:c>
      <x:c r="D59" s="1" t="str">
        <x:v>Banksia Cafe two separate purchases</x:v>
      </x:c>
      <x:c r="E59" s="7" t="n">
        <x:v>-8.5</x:v>
      </x:c>
      <x:c r="F59" s="7" t="n">
        <x:v>20027.22</x:v>
      </x:c>
      <x:c r="G59" s="1" t="str">
        <x:v>expense</x:v>
      </x:c>
      <x:c r="H59" s="1" t="str">
        <x:v>dining</x:v>
      </x:c>
      <x:c r="I59" s="1" t="str">
        <x:v>TX-0112</x:v>
      </x:c>
      <x:c r="J59" s="1" t="str"/>
      <x:c r="K59" s="1" t="str"/>
      <x:c r="L59" s="1" t="str">
        <x:v>2025-08</x:v>
      </x:c>
    </x:row>
    <x:row r="60" ht="21" customHeight="1">
      <x:c r="A60" s="6" t="n">
        <x:v>45880</x:v>
      </x:c>
      <x:c r="B60" s="1" t="str">
        <x:v>HH-EVERYDAY</x:v>
      </x:c>
      <x:c r="C60" s="1" t="str">
        <x:v>HH-NGUYEN</x:v>
      </x:c>
      <x:c r="D60" s="1" t="str">
        <x:v>Little Gum Early Learning</x:v>
      </x:c>
      <x:c r="E60" s="7" t="n">
        <x:v>-285</x:v>
      </x:c>
      <x:c r="F60" s="7" t="n">
        <x:v>19742.22</x:v>
      </x:c>
      <x:c r="G60" s="1" t="str">
        <x:v>expense</x:v>
      </x:c>
      <x:c r="H60" s="1" t="str">
        <x:v>childcare</x:v>
      </x:c>
      <x:c r="I60" s="1" t="str">
        <x:v>TX-0024</x:v>
      </x:c>
      <x:c r="J60" s="1" t="str"/>
      <x:c r="K60" s="1" t="str"/>
      <x:c r="L60" s="1" t="str">
        <x:v>2025-08</x:v>
      </x:c>
    </x:row>
    <x:row r="61" ht="21" customHeight="1">
      <x:c r="A61" s="6" t="n">
        <x:v>45880</x:v>
      </x:c>
      <x:c r="B61" s="1" t="str">
        <x:v>HH-EVERYDAY</x:v>
      </x:c>
      <x:c r="C61" s="1" t="str">
        <x:v>HH-NGUYEN</x:v>
      </x:c>
      <x:c r="D61" s="1" t="str">
        <x:v>Sample Cover Home Insurance</x:v>
      </x:c>
      <x:c r="E61" s="7" t="n">
        <x:v>-142.3</x:v>
      </x:c>
      <x:c r="F61" s="7" t="n">
        <x:v>19599.92</x:v>
      </x:c>
      <x:c r="G61" s="1" t="str">
        <x:v>expense</x:v>
      </x:c>
      <x:c r="H61" s="1" t="str">
        <x:v>insurance</x:v>
      </x:c>
      <x:c r="I61" s="1" t="str">
        <x:v>TX-0079</x:v>
      </x:c>
      <x:c r="J61" s="1" t="str"/>
      <x:c r="K61" s="1" t="str"/>
      <x:c r="L61" s="1" t="str">
        <x:v>2025-08</x:v>
      </x:c>
    </x:row>
    <x:row r="62" ht="21" customHeight="1">
      <x:c r="A62" s="6" t="n">
        <x:v>45882</x:v>
      </x:c>
      <x:c r="B62" s="1" t="str">
        <x:v>HH-CARD</x:v>
      </x:c>
      <x:c r="C62" s="1" t="str">
        <x:v>HH-NGUYEN</x:v>
      </x:c>
      <x:c r="D62" s="1" t="str">
        <x:v>Banksia Cafe, Sampleton</x:v>
      </x:c>
      <x:c r="E62" s="7" t="n">
        <x:v>-5.5</x:v>
      </x:c>
      <x:c r="F62" s="7" t="n">
        <x:v>-151.15</x:v>
      </x:c>
      <x:c r="G62" s="1" t="str">
        <x:v>expense</x:v>
      </x:c>
      <x:c r="H62" s="1" t="str">
        <x:v>dining</x:v>
      </x:c>
      <x:c r="I62" s="1" t="str">
        <x:v>TX-0025</x:v>
      </x:c>
      <x:c r="J62" s="1" t="str"/>
      <x:c r="K62" s="1" t="str"/>
      <x:c r="L62" s="1" t="str">
        <x:v>2025-08</x:v>
      </x:c>
    </x:row>
    <x:row r="63" ht="21" customHeight="1">
      <x:c r="A63" s="6" t="n">
        <x:v>45882</x:v>
      </x:c>
      <x:c r="B63" s="1" t="str">
        <x:v>BIZ-BANK</x:v>
      </x:c>
      <x:c r="C63" s="1" t="str">
        <x:v>BIZ-WATTLE</x:v>
      </x:c>
      <x:c r="D63" s="1" t="str">
        <x:v>Example Coworking desk fee</x:v>
      </x:c>
      <x:c r="E63" s="7" t="n">
        <x:v>-440</x:v>
      </x:c>
      <x:c r="F63" s="7" t="n">
        <x:v>27535</x:v>
      </x:c>
      <x:c r="G63" s="1" t="str">
        <x:v>expense</x:v>
      </x:c>
      <x:c r="H63" s="1" t="str">
        <x:v>rent_expense</x:v>
      </x:c>
      <x:c r="I63" s="1" t="str">
        <x:v>TX-0090</x:v>
      </x:c>
      <x:c r="J63" s="1" t="str"/>
      <x:c r="K63" s="1" t="str"/>
      <x:c r="L63" s="1" t="str">
        <x:v>2025-08</x:v>
      </x:c>
    </x:row>
    <x:row r="64" ht="21" customHeight="1">
      <x:c r="A64" s="6" t="n">
        <x:v>45883</x:v>
      </x:c>
      <x:c r="B64" s="1" t="str">
        <x:v>HH-EVERYDAY</x:v>
      </x:c>
      <x:c r="C64" s="1" t="str">
        <x:v>HH-NGUYEN</x:v>
      </x:c>
      <x:c r="D64" s="1" t="str">
        <x:v>PAYROLL Eucalyptus Engineering - Alex</x:v>
      </x:c>
      <x:c r="E64" s="7" t="n">
        <x:v>3650</x:v>
      </x:c>
      <x:c r="F64" s="7" t="n">
        <x:v>23249.92</x:v>
      </x:c>
      <x:c r="G64" s="1" t="str">
        <x:v>income</x:v>
      </x:c>
      <x:c r="H64" s="1" t="str">
        <x:v>salary</x:v>
      </x:c>
      <x:c r="I64" s="1" t="str">
        <x:v>TX-0056</x:v>
      </x:c>
      <x:c r="J64" s="1" t="str"/>
      <x:c r="K64" s="1" t="str"/>
      <x:c r="L64" s="1" t="str">
        <x:v>2025-08</x:v>
      </x:c>
    </x:row>
    <x:row r="65" ht="21" customHeight="1">
      <x:c r="A65" s="6" t="n">
        <x:v>45884</x:v>
      </x:c>
      <x:c r="B65" s="1" t="str">
        <x:v>HH-CARD</x:v>
      </x:c>
      <x:c r="C65" s="1" t="str">
        <x:v>HH-NGUYEN</x:v>
      </x:c>
      <x:c r="D65" s="1" t="str">
        <x:v>Example Fuel Stop</x:v>
      </x:c>
      <x:c r="E65" s="7" t="n">
        <x:v>-71.3</x:v>
      </x:c>
      <x:c r="F65" s="7" t="n">
        <x:v>-222.45</x:v>
      </x:c>
      <x:c r="G65" s="1" t="str">
        <x:v>expense</x:v>
      </x:c>
      <x:c r="H65" s="1" t="str">
        <x:v>transportation</x:v>
      </x:c>
      <x:c r="I65" s="1" t="str">
        <x:v>TX-0026</x:v>
      </x:c>
      <x:c r="J65" s="1" t="str"/>
      <x:c r="K65" s="1" t="str"/>
      <x:c r="L65" s="1" t="str">
        <x:v>2025-08</x:v>
      </x:c>
    </x:row>
    <x:row r="66" ht="21" customHeight="1">
      <x:c r="A66" s="6" t="n">
        <x:v>45884</x:v>
      </x:c>
      <x:c r="B66" s="1" t="str">
        <x:v>HH-EVERYDAY</x:v>
      </x:c>
      <x:c r="C66" s="1" t="str">
        <x:v>HH-NGUYEN</x:v>
      </x:c>
      <x:c r="D66" s="1" t="str">
        <x:v>PAYROLL Example Health Services - Morgan</x:v>
      </x:c>
      <x:c r="E66" s="7" t="n">
        <x:v>2400</x:v>
      </x:c>
      <x:c r="F66" s="7" t="n">
        <x:v>25649.92</x:v>
      </x:c>
      <x:c r="G66" s="1" t="str">
        <x:v>income</x:v>
      </x:c>
      <x:c r="H66" s="1" t="str">
        <x:v>salary</x:v>
      </x:c>
      <x:c r="I66" s="1" t="str">
        <x:v>TX-0076</x:v>
      </x:c>
      <x:c r="J66" s="1" t="str"/>
      <x:c r="K66" s="1" t="str"/>
      <x:c r="L66" s="1" t="str">
        <x:v>2025-08</x:v>
      </x:c>
    </x:row>
    <x:row r="67" ht="21" customHeight="1">
      <x:c r="A67" s="6" t="n">
        <x:v>45885</x:v>
      </x:c>
      <x:c r="B67" s="1" t="str">
        <x:v>HH-EVERYDAY</x:v>
      </x:c>
      <x:c r="C67" s="1" t="str">
        <x:v>HH-NGUYEN</x:v>
      </x:c>
      <x:c r="D67" s="1" t="str">
        <x:v>Green Basket Grocers - Sampleton</x:v>
      </x:c>
      <x:c r="E67" s="7" t="n">
        <x:v>-165.35</x:v>
      </x:c>
      <x:c r="F67" s="7" t="n">
        <x:v>25484.57</x:v>
      </x:c>
      <x:c r="G67" s="1" t="str">
        <x:v>expense</x:v>
      </x:c>
      <x:c r="H67" s="1" t="str">
        <x:v>groceries</x:v>
      </x:c>
      <x:c r="I67" s="1" t="str">
        <x:v>TX-0027</x:v>
      </x:c>
      <x:c r="J67" s="1" t="str"/>
      <x:c r="K67" s="1" t="str"/>
      <x:c r="L67" s="1" t="str">
        <x:v>2025-08</x:v>
      </x:c>
    </x:row>
    <x:row r="68" ht="21" customHeight="1">
      <x:c r="A68" s="6" t="n">
        <x:v>45885</x:v>
      </x:c>
      <x:c r="B68" s="1" t="str">
        <x:v>HH-EVERYDAY</x:v>
      </x:c>
      <x:c r="C68" s="1" t="str">
        <x:v>HH-NGUYEN</x:v>
      </x:c>
      <x:c r="D68" s="1" t="str">
        <x:v>Transfer to HH-SAVINGS</x:v>
      </x:c>
      <x:c r="E68" s="7" t="n">
        <x:v>-1000</x:v>
      </x:c>
      <x:c r="F68" s="7" t="n">
        <x:v>24484.57</x:v>
      </x:c>
      <x:c r="G68" s="1" t="str">
        <x:v>transfer</x:v>
      </x:c>
      <x:c r="H68" s="1" t="str"/>
      <x:c r="I68" s="1" t="str">
        <x:v>TX-0081</x:v>
      </x:c>
      <x:c r="J68" s="1" t="str">
        <x:v>SAVE-8</x:v>
      </x:c>
      <x:c r="K68" s="1" t="str"/>
      <x:c r="L68" s="1" t="str">
        <x:v>2025-08</x:v>
      </x:c>
    </x:row>
    <x:row r="69" ht="21" customHeight="1">
      <x:c r="A69" s="6" t="n">
        <x:v>45885</x:v>
      </x:c>
      <x:c r="B69" s="1" t="str">
        <x:v>HH-SAVINGS</x:v>
      </x:c>
      <x:c r="C69" s="1" t="str">
        <x:v>HH-NGUYEN</x:v>
      </x:c>
      <x:c r="D69" s="1" t="str">
        <x:v>Transfer from HH-EVERYDAY</x:v>
      </x:c>
      <x:c r="E69" s="7" t="n">
        <x:v>1000</x:v>
      </x:c>
      <x:c r="F69" s="7" t="n">
        <x:v>27094.25</x:v>
      </x:c>
      <x:c r="G69" s="1" t="str">
        <x:v>transfer</x:v>
      </x:c>
      <x:c r="H69" s="1" t="str"/>
      <x:c r="I69" s="1" t="str">
        <x:v>TX-0082</x:v>
      </x:c>
      <x:c r="J69" s="1" t="str">
        <x:v>SAVE-8</x:v>
      </x:c>
      <x:c r="K69" s="1" t="str"/>
      <x:c r="L69" s="1" t="str">
        <x:v>2025-08</x:v>
      </x:c>
    </x:row>
    <x:row r="70" ht="21" customHeight="1">
      <x:c r="A70" s="6" t="n">
        <x:v>45887</x:v>
      </x:c>
      <x:c r="B70" s="1" t="str">
        <x:v>HH-EVERYDAY</x:v>
      </x:c>
      <x:c r="C70" s="1" t="str">
        <x:v>HH-NGUYEN</x:v>
      </x:c>
      <x:c r="D70" s="1" t="str">
        <x:v>Little Gum Early Learning</x:v>
      </x:c>
      <x:c r="E70" s="7" t="n">
        <x:v>-285</x:v>
      </x:c>
      <x:c r="F70" s="7" t="n">
        <x:v>24199.57</x:v>
      </x:c>
      <x:c r="G70" s="1" t="str">
        <x:v>expense</x:v>
      </x:c>
      <x:c r="H70" s="1" t="str">
        <x:v>childcare</x:v>
      </x:c>
      <x:c r="I70" s="1" t="str">
        <x:v>TX-0028</x:v>
      </x:c>
      <x:c r="J70" s="1" t="str"/>
      <x:c r="K70" s="1" t="str"/>
      <x:c r="L70" s="1" t="str">
        <x:v>2025-08</x:v>
      </x:c>
    </x:row>
    <x:row r="71" ht="21" customHeight="1">
      <x:c r="A71" s="6" t="n">
        <x:v>45887</x:v>
      </x:c>
      <x:c r="B71" s="1" t="str">
        <x:v>HH-EVERYDAY</x:v>
      </x:c>
      <x:c r="C71" s="1" t="str">
        <x:v>HH-NGUYEN</x:v>
      </x:c>
      <x:c r="D71" s="1" t="str">
        <x:v>Transit wallet top-up</x:v>
      </x:c>
      <x:c r="E71" s="7" t="n">
        <x:v>-80</x:v>
      </x:c>
      <x:c r="F71" s="7" t="n">
        <x:v>24119.57</x:v>
      </x:c>
      <x:c r="G71" s="1" t="str">
        <x:v>expense</x:v>
      </x:c>
      <x:c r="H71" s="1" t="str">
        <x:v>transportation</x:v>
      </x:c>
      <x:c r="I71" s="1" t="str">
        <x:v>TX-0080</x:v>
      </x:c>
      <x:c r="J71" s="1" t="str"/>
      <x:c r="K71" s="1" t="str"/>
      <x:c r="L71" s="1" t="str">
        <x:v>2025-08</x:v>
      </x:c>
    </x:row>
    <x:row r="72" ht="21" customHeight="1">
      <x:c r="A72" s="6" t="n">
        <x:v>45888</x:v>
      </x:c>
      <x:c r="B72" s="1" t="str">
        <x:v>BIZ-BANK</x:v>
      </x:c>
      <x:c r="C72" s="1" t="str">
        <x:v>BIZ-WATTLE</x:v>
      </x:c>
      <x:c r="D72" s="1" t="str">
        <x:v>Client payment WD-08-19</x:v>
      </x:c>
      <x:c r="E72" s="7" t="n">
        <x:v>2200</x:v>
      </x:c>
      <x:c r="F72" s="7" t="n">
        <x:v>29735</x:v>
      </x:c>
      <x:c r="G72" s="1" t="str">
        <x:v>business_receipt</x:v>
      </x:c>
      <x:c r="H72" s="1" t="str">
        <x:v>business_income</x:v>
      </x:c>
      <x:c r="I72" s="1" t="str">
        <x:v>TX-0088</x:v>
      </x:c>
      <x:c r="J72" s="1" t="str"/>
      <x:c r="K72" s="1" t="str"/>
      <x:c r="L72" s="1" t="str">
        <x:v>2025-08</x:v>
      </x:c>
    </x:row>
    <x:row r="73" ht="21" customHeight="1">
      <x:c r="A73" s="6" t="n">
        <x:v>45889</x:v>
      </x:c>
      <x:c r="B73" s="1" t="str">
        <x:v>HH-CARD</x:v>
      </x:c>
      <x:c r="C73" s="1" t="str">
        <x:v>HH-NGUYEN</x:v>
      </x:c>
      <x:c r="D73" s="1" t="str">
        <x:v>Banksia Cafe, Sampleton</x:v>
      </x:c>
      <x:c r="E73" s="7" t="n">
        <x:v>-6</x:v>
      </x:c>
      <x:c r="F73" s="7" t="n">
        <x:v>-228.45</x:v>
      </x:c>
      <x:c r="G73" s="1" t="str">
        <x:v>expense</x:v>
      </x:c>
      <x:c r="H73" s="1" t="str">
        <x:v>dining</x:v>
      </x:c>
      <x:c r="I73" s="1" t="str">
        <x:v>TX-0029</x:v>
      </x:c>
      <x:c r="J73" s="1" t="str"/>
      <x:c r="K73" s="1" t="str"/>
      <x:c r="L73" s="1" t="str">
        <x:v>2025-08</x:v>
      </x:c>
    </x:row>
    <x:row r="74" ht="21" customHeight="1">
      <x:c r="A74" s="6" t="n">
        <x:v>45890</x:v>
      </x:c>
      <x:c r="B74" s="1" t="str">
        <x:v>BIZ-BANK</x:v>
      </x:c>
      <x:c r="C74" s="1" t="str">
        <x:v>BIZ-WATTLE</x:v>
      </x:c>
      <x:c r="D74" s="1" t="str">
        <x:v>Print &amp; Paper Co stationery</x:v>
      </x:c>
      <x:c r="E74" s="7" t="n">
        <x:v>-55</x:v>
      </x:c>
      <x:c r="F74" s="7" t="n">
        <x:v>29680</x:v>
      </x:c>
      <x:c r="G74" s="1" t="str">
        <x:v>expense</x:v>
      </x:c>
      <x:c r="H74" s="1" t="str">
        <x:v>office_supplies</x:v>
      </x:c>
      <x:c r="I74" s="1" t="str">
        <x:v>TX-0091</x:v>
      </x:c>
      <x:c r="J74" s="1" t="str"/>
      <x:c r="K74" s="1" t="str"/>
      <x:c r="L74" s="1" t="str">
        <x:v>2025-08</x:v>
      </x:c>
    </x:row>
    <x:row r="75" ht="21" customHeight="1">
      <x:c r="A75" s="6" t="n">
        <x:v>45891</x:v>
      </x:c>
      <x:c r="B75" s="1" t="str">
        <x:v>HH-CARD</x:v>
      </x:c>
      <x:c r="C75" s="1" t="str">
        <x:v>HH-NGUYEN</x:v>
      </x:c>
      <x:c r="D75" s="1" t="str">
        <x:v>Example Fuel Stop</x:v>
      </x:c>
      <x:c r="E75" s="7" t="n">
        <x:v>-74.45</x:v>
      </x:c>
      <x:c r="F75" s="7" t="n">
        <x:v>-302.9</x:v>
      </x:c>
      <x:c r="G75" s="1" t="str">
        <x:v>expense</x:v>
      </x:c>
      <x:c r="H75" s="1" t="str">
        <x:v>transportation</x:v>
      </x:c>
      <x:c r="I75" s="1" t="str">
        <x:v>TX-0030</x:v>
      </x:c>
      <x:c r="J75" s="1" t="str"/>
      <x:c r="K75" s="1" t="str"/>
      <x:c r="L75" s="1" t="str">
        <x:v>2025-08</x:v>
      </x:c>
    </x:row>
    <x:row r="76" ht="21" customHeight="1">
      <x:c r="A76" s="6" t="n">
        <x:v>45892</x:v>
      </x:c>
      <x:c r="B76" s="1" t="str">
        <x:v>HH-EVERYDAY</x:v>
      </x:c>
      <x:c r="C76" s="1" t="str">
        <x:v>HH-NGUYEN</x:v>
      </x:c>
      <x:c r="D76" s="1" t="str">
        <x:v>Green Basket Grocers - Sampleton</x:v>
      </x:c>
      <x:c r="E76" s="7" t="n">
        <x:v>-172.7</x:v>
      </x:c>
      <x:c r="F76" s="7" t="n">
        <x:v>23946.87</x:v>
      </x:c>
      <x:c r="G76" s="1" t="str">
        <x:v>expense</x:v>
      </x:c>
      <x:c r="H76" s="1" t="str">
        <x:v>groceries</x:v>
      </x:c>
      <x:c r="I76" s="1" t="str">
        <x:v>TX-0031</x:v>
      </x:c>
      <x:c r="J76" s="1" t="str"/>
      <x:c r="K76" s="1" t="str"/>
      <x:c r="L76" s="1" t="str">
        <x:v>2025-08</x:v>
      </x:c>
    </x:row>
    <x:row r="77" ht="21" customHeight="1">
      <x:c r="A77" s="6" t="n">
        <x:v>45894</x:v>
      </x:c>
      <x:c r="B77" s="1" t="str">
        <x:v>HH-EVERYDAY</x:v>
      </x:c>
      <x:c r="C77" s="1" t="str">
        <x:v>HH-NGUYEN</x:v>
      </x:c>
      <x:c r="D77" s="1" t="str">
        <x:v>Little Gum Early Learning</x:v>
      </x:c>
      <x:c r="E77" s="7" t="n">
        <x:v>-285</x:v>
      </x:c>
      <x:c r="F77" s="7" t="n">
        <x:v>23661.87</x:v>
      </x:c>
      <x:c r="G77" s="1" t="str">
        <x:v>expense</x:v>
      </x:c>
      <x:c r="H77" s="1" t="str">
        <x:v>childcare</x:v>
      </x:c>
      <x:c r="I77" s="1" t="str">
        <x:v>TX-0032</x:v>
      </x:c>
      <x:c r="J77" s="1" t="str"/>
      <x:c r="K77" s="1" t="str"/>
      <x:c r="L77" s="1" t="str">
        <x:v>2025-08</x:v>
      </x:c>
    </x:row>
    <x:row r="78" ht="21" customHeight="1">
      <x:c r="A78" s="6" t="n">
        <x:v>45894</x:v>
      </x:c>
      <x:c r="B78" s="1" t="str">
        <x:v>HH-RENTAL</x:v>
      </x:c>
      <x:c r="C78" s="1" t="str">
        <x:v>HH-NGUYEN</x:v>
      </x:c>
      <x:c r="D78" s="1" t="str">
        <x:v>Paperbark Property Managers NET RENT 08</x:v>
      </x:c>
      <x:c r="E78" s="7" t="n">
        <x:v>2253</x:v>
      </x:c>
      <x:c r="F78" s="7" t="n">
        <x:v>6928.22</x:v>
      </x:c>
      <x:c r="G78" s="1" t="str">
        <x:v>rental_net_remittance</x:v>
      </x:c>
      <x:c r="H78" s="1" t="str">
        <x:v>needs_split</x:v>
      </x:c>
      <x:c r="I78" s="1" t="str">
        <x:v>TX-0084</x:v>
      </x:c>
      <x:c r="J78" s="1" t="str"/>
      <x:c r="K78" s="1" t="str"/>
      <x:c r="L78" s="1" t="str">
        <x:v>2025-08</x:v>
      </x:c>
    </x:row>
    <x:row r="79" ht="21" customHeight="1">
      <x:c r="A79" s="6" t="n">
        <x:v>45896</x:v>
      </x:c>
      <x:c r="B79" s="1" t="str">
        <x:v>HH-CARD</x:v>
      </x:c>
      <x:c r="C79" s="1" t="str">
        <x:v>HH-NGUYEN</x:v>
      </x:c>
      <x:c r="D79" s="1" t="str">
        <x:v>Banksia Cafe, Sampleton</x:v>
      </x:c>
      <x:c r="E79" s="7" t="n">
        <x:v>-6.5</x:v>
      </x:c>
      <x:c r="F79" s="7" t="n">
        <x:v>-309.4</x:v>
      </x:c>
      <x:c r="G79" s="1" t="str">
        <x:v>expense</x:v>
      </x:c>
      <x:c r="H79" s="1" t="str">
        <x:v>dining</x:v>
      </x:c>
      <x:c r="I79" s="1" t="str">
        <x:v>TX-0033</x:v>
      </x:c>
      <x:c r="J79" s="1" t="str"/>
      <x:c r="K79" s="1" t="str"/>
      <x:c r="L79" s="1" t="str">
        <x:v>2025-08</x:v>
      </x:c>
    </x:row>
    <x:row r="80" ht="21" customHeight="1">
      <x:c r="A80" s="6" t="n">
        <x:v>45897</x:v>
      </x:c>
      <x:c r="B80" s="1" t="str">
        <x:v>HH-EVERYDAY</x:v>
      </x:c>
      <x:c r="C80" s="1" t="str">
        <x:v>HH-NGUYEN</x:v>
      </x:c>
      <x:c r="D80" s="1" t="str">
        <x:v>PAYROLL Eucalyptus Engineering - Alex</x:v>
      </x:c>
      <x:c r="E80" s="7" t="n">
        <x:v>3650</x:v>
      </x:c>
      <x:c r="F80" s="7" t="n">
        <x:v>27311.87</x:v>
      </x:c>
      <x:c r="G80" s="1" t="str">
        <x:v>income</x:v>
      </x:c>
      <x:c r="H80" s="1" t="str">
        <x:v>salary</x:v>
      </x:c>
      <x:c r="I80" s="1" t="str">
        <x:v>TX-0057</x:v>
      </x:c>
      <x:c r="J80" s="1" t="str"/>
      <x:c r="K80" s="1" t="str"/>
      <x:c r="L80" s="1" t="str">
        <x:v>2025-08</x:v>
      </x:c>
    </x:row>
    <x:row r="81" ht="21" customHeight="1">
      <x:c r="A81" s="6" t="n">
        <x:v>45897</x:v>
      </x:c>
      <x:c r="B81" s="1" t="str">
        <x:v>HH-EVERYDAY</x:v>
      </x:c>
      <x:c r="C81" s="1" t="str">
        <x:v>HH-NGUYEN</x:v>
      </x:c>
      <x:c r="D81" s="1" t="str">
        <x:v>Transfer to HH-CARD</x:v>
      </x:c>
      <x:c r="E81" s="7" t="n">
        <x:v>-309.4</x:v>
      </x:c>
      <x:c r="F81" s="7" t="n">
        <x:v>27002.47</x:v>
      </x:c>
      <x:c r="G81" s="1" t="str">
        <x:v>card_repayment</x:v>
      </x:c>
      <x:c r="H81" s="1" t="str"/>
      <x:c r="I81" s="1" t="str">
        <x:v>TX-0116</x:v>
      </x:c>
      <x:c r="J81" s="1" t="str">
        <x:v>CARD-8</x:v>
      </x:c>
      <x:c r="K81" s="1" t="str"/>
      <x:c r="L81" s="1" t="str">
        <x:v>2025-08</x:v>
      </x:c>
    </x:row>
    <x:row r="82" ht="21" customHeight="1">
      <x:c r="A82" s="6" t="n">
        <x:v>45897</x:v>
      </x:c>
      <x:c r="B82" s="1" t="str">
        <x:v>HH-CARD</x:v>
      </x:c>
      <x:c r="C82" s="1" t="str">
        <x:v>HH-NGUYEN</x:v>
      </x:c>
      <x:c r="D82" s="1" t="str">
        <x:v>Transfer from HH-EVERYDAY</x:v>
      </x:c>
      <x:c r="E82" s="7" t="n">
        <x:v>309.4</x:v>
      </x:c>
      <x:c r="F82" s="7" t="n">
        <x:v>0</x:v>
      </x:c>
      <x:c r="G82" s="1" t="str">
        <x:v>card_repayment</x:v>
      </x:c>
      <x:c r="H82" s="1" t="str"/>
      <x:c r="I82" s="1" t="str">
        <x:v>TX-0117</x:v>
      </x:c>
      <x:c r="J82" s="1" t="str">
        <x:v>CARD-8</x:v>
      </x:c>
      <x:c r="K82" s="1" t="str"/>
      <x:c r="L82" s="1" t="str">
        <x:v>2025-08</x:v>
      </x:c>
    </x:row>
    <x:row r="83" ht="21" customHeight="1">
      <x:c r="A83" s="6" t="n">
        <x:v>45898</x:v>
      </x:c>
      <x:c r="B83" s="1" t="str">
        <x:v>HH-CARD</x:v>
      </x:c>
      <x:c r="C83" s="1" t="str">
        <x:v>HH-NGUYEN</x:v>
      </x:c>
      <x:c r="D83" s="1" t="str">
        <x:v>Example Fuel Stop</x:v>
      </x:c>
      <x:c r="E83" s="7" t="n">
        <x:v>-65</x:v>
      </x:c>
      <x:c r="F83" s="7" t="n">
        <x:v>-65</x:v>
      </x:c>
      <x:c r="G83" s="1" t="str">
        <x:v>expense</x:v>
      </x:c>
      <x:c r="H83" s="1" t="str">
        <x:v>transportation</x:v>
      </x:c>
      <x:c r="I83" s="1" t="str">
        <x:v>TX-0034</x:v>
      </x:c>
      <x:c r="J83" s="1" t="str"/>
      <x:c r="K83" s="1" t="str"/>
      <x:c r="L83" s="1" t="str">
        <x:v>2025-08</x:v>
      </x:c>
    </x:row>
    <x:row r="84" ht="21" customHeight="1">
      <x:c r="A84" s="6" t="n">
        <x:v>45899</x:v>
      </x:c>
      <x:c r="B84" s="1" t="str">
        <x:v>HH-EVERYDAY</x:v>
      </x:c>
      <x:c r="C84" s="1" t="str">
        <x:v>HH-NGUYEN</x:v>
      </x:c>
      <x:c r="D84" s="1" t="str">
        <x:v>Green Basket Grocers - Sampleton</x:v>
      </x:c>
      <x:c r="E84" s="7" t="n">
        <x:v>-180.05</x:v>
      </x:c>
      <x:c r="F84" s="7" t="n">
        <x:v>26822.42</x:v>
      </x:c>
      <x:c r="G84" s="1" t="str">
        <x:v>expense</x:v>
      </x:c>
      <x:c r="H84" s="1" t="str">
        <x:v>groceries</x:v>
      </x:c>
      <x:c r="I84" s="1" t="str">
        <x:v>TX-0035</x:v>
      </x:c>
      <x:c r="J84" s="1" t="str"/>
      <x:c r="K84" s="1" t="str"/>
      <x:c r="L84" s="1" t="str">
        <x:v>2025-08</x:v>
      </x:c>
    </x:row>
    <x:row r="85" ht="21" customHeight="1">
      <x:c r="A85" s="6" t="n">
        <x:v>45899</x:v>
      </x:c>
      <x:c r="B85" s="1" t="str">
        <x:v>HH-SAVINGS</x:v>
      </x:c>
      <x:c r="C85" s="1" t="str">
        <x:v>HH-NGUYEN</x:v>
      </x:c>
      <x:c r="D85" s="1" t="str">
        <x:v>Monthly interest credit</x:v>
      </x:c>
      <x:c r="E85" s="7" t="n">
        <x:v>98.55</x:v>
      </x:c>
      <x:c r="F85" s="7" t="n">
        <x:v>27192.8</x:v>
      </x:c>
      <x:c r="G85" s="1" t="str">
        <x:v>income</x:v>
      </x:c>
      <x:c r="H85" s="1" t="str">
        <x:v>interest_income</x:v>
      </x:c>
      <x:c r="I85" s="1" t="str">
        <x:v>TX-0083</x:v>
      </x:c>
      <x:c r="J85" s="1" t="str"/>
      <x:c r="K85" s="1" t="str"/>
      <x:c r="L85" s="1" t="str">
        <x:v>2025-08</x:v>
      </x:c>
    </x:row>
    <x:row r="86" ht="21" customHeight="1">
      <x:c r="A86" s="6" t="n">
        <x:v>45900</x:v>
      </x:c>
      <x:c r="B86" s="1" t="str">
        <x:v>HH-EVERYDAY</x:v>
      </x:c>
      <x:c r="C86" s="1" t="str">
        <x:v>HH-NGUYEN</x:v>
      </x:c>
      <x:c r="D86" s="1" t="str">
        <x:v>Southern Example Bank HOME-LOAN repayment</x:v>
      </x:c>
      <x:c r="E86" s="7" t="n">
        <x:v>-3151.17</x:v>
      </x:c>
      <x:c r="F86" s="7" t="n">
        <x:v>23671.25</x:v>
      </x:c>
      <x:c r="G86" s="1" t="str">
        <x:v>loan_repayment</x:v>
      </x:c>
      <x:c r="H86" s="1" t="str">
        <x:v>principal_and_interest</x:v>
      </x:c>
      <x:c r="I86" s="1" t="str">
        <x:v>TX-0085</x:v>
      </x:c>
      <x:c r="J86" s="1" t="str">
        <x:v>HOME-LOAN-8</x:v>
      </x:c>
      <x:c r="K86" s="1" t="str"/>
      <x:c r="L86" s="1" t="str">
        <x:v>2025-08</x:v>
      </x:c>
    </x:row>
    <x:row r="87" ht="21" customHeight="1">
      <x:c r="A87" s="6" t="n">
        <x:v>45900</x:v>
      </x:c>
      <x:c r="B87" s="1" t="str">
        <x:v>HH-RENTAL</x:v>
      </x:c>
      <x:c r="C87" s="1" t="str">
        <x:v>HH-NGUYEN</x:v>
      </x:c>
      <x:c r="D87" s="1" t="str">
        <x:v>Southern Example Bank RENTAL-LOAN repayment</x:v>
      </x:c>
      <x:c r="E87" s="7" t="n">
        <x:v>-2742.78</x:v>
      </x:c>
      <x:c r="F87" s="7" t="n">
        <x:v>4185.44</x:v>
      </x:c>
      <x:c r="G87" s="1" t="str">
        <x:v>loan_repayment</x:v>
      </x:c>
      <x:c r="H87" s="1" t="str">
        <x:v>principal_and_interest</x:v>
      </x:c>
      <x:c r="I87" s="1" t="str">
        <x:v>TX-0086</x:v>
      </x:c>
      <x:c r="J87" s="1" t="str">
        <x:v>RENTAL-LOAN-8</x:v>
      </x:c>
      <x:c r="K87" s="1" t="str"/>
      <x:c r="L87" s="1" t="str">
        <x:v>2025-08</x:v>
      </x:c>
    </x:row>
    <x:row r="88" ht="21" customHeight="1">
      <x:c r="A88" s="6" t="n">
        <x:v>45901</x:v>
      </x:c>
      <x:c r="B88" s="1" t="str">
        <x:v>HH-EVERYDAY</x:v>
      </x:c>
      <x:c r="C88" s="1" t="str">
        <x:v>HH-NGUYEN</x:v>
      </x:c>
      <x:c r="D88" s="1" t="str">
        <x:v>Little Gum Early Learning</x:v>
      </x:c>
      <x:c r="E88" s="7" t="n">
        <x:v>-285</x:v>
      </x:c>
      <x:c r="F88" s="7" t="n">
        <x:v>23386.25</x:v>
      </x:c>
      <x:c r="G88" s="1" t="str">
        <x:v>expense</x:v>
      </x:c>
      <x:c r="H88" s="1" t="str">
        <x:v>childcare</x:v>
      </x:c>
      <x:c r="I88" s="1" t="str">
        <x:v>TX-0036</x:v>
      </x:c>
      <x:c r="J88" s="1" t="str"/>
      <x:c r="K88" s="1" t="str"/>
      <x:c r="L88" s="1" t="str">
        <x:v>2025-09</x:v>
      </x:c>
    </x:row>
    <x:row r="89" ht="21" customHeight="1">
      <x:c r="A89" s="6" t="n">
        <x:v>45903</x:v>
      </x:c>
      <x:c r="B89" s="1" t="str">
        <x:v>HH-CARD</x:v>
      </x:c>
      <x:c r="C89" s="1" t="str">
        <x:v>HH-NGUYEN</x:v>
      </x:c>
      <x:c r="D89" s="1" t="str">
        <x:v>Banksia Cafe, Sampleton</x:v>
      </x:c>
      <x:c r="E89" s="7" t="n">
        <x:v>-5.5</x:v>
      </x:c>
      <x:c r="F89" s="7" t="n">
        <x:v>-70.5</x:v>
      </x:c>
      <x:c r="G89" s="1" t="str">
        <x:v>expense</x:v>
      </x:c>
      <x:c r="H89" s="1" t="str">
        <x:v>dining</x:v>
      </x:c>
      <x:c r="I89" s="1" t="str">
        <x:v>TX-0037</x:v>
      </x:c>
      <x:c r="J89" s="1" t="str"/>
      <x:c r="K89" s="1" t="str"/>
      <x:c r="L89" s="1" t="str">
        <x:v>2025-09</x:v>
      </x:c>
    </x:row>
    <x:row r="90" ht="21" customHeight="1">
      <x:c r="A90" s="6" t="n">
        <x:v>45905</x:v>
      </x:c>
      <x:c r="B90" s="1" t="str">
        <x:v>HH-CARD</x:v>
      </x:c>
      <x:c r="C90" s="1" t="str">
        <x:v>HH-NGUYEN</x:v>
      </x:c>
      <x:c r="D90" s="1" t="str">
        <x:v>Example Fuel Stop</x:v>
      </x:c>
      <x:c r="E90" s="7" t="n">
        <x:v>-68.15</x:v>
      </x:c>
      <x:c r="F90" s="7" t="n">
        <x:v>-138.65</x:v>
      </x:c>
      <x:c r="G90" s="1" t="str">
        <x:v>expense</x:v>
      </x:c>
      <x:c r="H90" s="1" t="str">
        <x:v>transportation</x:v>
      </x:c>
      <x:c r="I90" s="1" t="str">
        <x:v>TX-0038</x:v>
      </x:c>
      <x:c r="J90" s="1" t="str"/>
      <x:c r="K90" s="1" t="str"/>
      <x:c r="L90" s="1" t="str">
        <x:v>2025-09</x:v>
      </x:c>
    </x:row>
    <x:row r="91" ht="21" customHeight="1">
      <x:c r="A91" s="6" t="n">
        <x:v>45905</x:v>
      </x:c>
      <x:c r="B91" s="1" t="str">
        <x:v>BIZ-BANK</x:v>
      </x:c>
      <x:c r="C91" s="1" t="str">
        <x:v>BIZ-WATTLE</x:v>
      </x:c>
      <x:c r="D91" s="1" t="str">
        <x:v>Client payment WD-09-05</x:v>
      </x:c>
      <x:c r="E91" s="7" t="n">
        <x:v>3300</x:v>
      </x:c>
      <x:c r="F91" s="7" t="n">
        <x:v>32980</x:v>
      </x:c>
      <x:c r="G91" s="1" t="str">
        <x:v>business_receipt</x:v>
      </x:c>
      <x:c r="H91" s="1" t="str">
        <x:v>business_income</x:v>
      </x:c>
      <x:c r="I91" s="1" t="str">
        <x:v>TX-0103</x:v>
      </x:c>
      <x:c r="J91" s="1" t="str"/>
      <x:c r="K91" s="1" t="str"/>
      <x:c r="L91" s="1" t="str">
        <x:v>2025-09</x:v>
      </x:c>
    </x:row>
    <x:row r="92" ht="21" customHeight="1">
      <x:c r="A92" s="6" t="n">
        <x:v>45906</x:v>
      </x:c>
      <x:c r="B92" s="1" t="str">
        <x:v>HH-EVERYDAY</x:v>
      </x:c>
      <x:c r="C92" s="1" t="str">
        <x:v>HH-NGUYEN</x:v>
      </x:c>
      <x:c r="D92" s="1" t="str">
        <x:v>Green Basket Grocers - Sampleton</x:v>
      </x:c>
      <x:c r="E92" s="7" t="n">
        <x:v>-187.4</x:v>
      </x:c>
      <x:c r="F92" s="7" t="n">
        <x:v>23198.85</x:v>
      </x:c>
      <x:c r="G92" s="1" t="str">
        <x:v>expense</x:v>
      </x:c>
      <x:c r="H92" s="1" t="str">
        <x:v>groceries</x:v>
      </x:c>
      <x:c r="I92" s="1" t="str">
        <x:v>TX-0039</x:v>
      </x:c>
      <x:c r="J92" s="1" t="str"/>
      <x:c r="K92" s="1" t="str"/>
      <x:c r="L92" s="1" t="str">
        <x:v>2025-09</x:v>
      </x:c>
    </x:row>
    <x:row r="93" ht="21" customHeight="1">
      <x:c r="A93" s="6" t="n">
        <x:v>45906</x:v>
      </x:c>
      <x:c r="B93" s="1" t="str">
        <x:v>HH-EVERYDAY</x:v>
      </x:c>
      <x:c r="C93" s="1" t="str">
        <x:v>HH-NGUYEN</x:v>
      </x:c>
      <x:c r="D93" s="1" t="str">
        <x:v>Blue Wren Broadband BPAY</x:v>
      </x:c>
      <x:c r="E93" s="7" t="n">
        <x:v>-79.88</x:v>
      </x:c>
      <x:c r="F93" s="7" t="n">
        <x:v>23118.97</x:v>
      </x:c>
      <x:c r="G93" s="1" t="str">
        <x:v>expense</x:v>
      </x:c>
      <x:c r="H93" s="1" t="str">
        <x:v>utilities</x:v>
      </x:c>
      <x:c r="I93" s="1" t="str">
        <x:v>TX-0093</x:v>
      </x:c>
      <x:c r="J93" s="1" t="str"/>
      <x:c r="K93" s="1" t="str"/>
      <x:c r="L93" s="1" t="str">
        <x:v>2025-09</x:v>
      </x:c>
    </x:row>
    <x:row r="94" ht="21" customHeight="1">
      <x:c r="A94" s="6" t="n">
        <x:v>45908</x:v>
      </x:c>
      <x:c r="B94" s="1" t="str">
        <x:v>HH-EVERYDAY</x:v>
      </x:c>
      <x:c r="C94" s="1" t="str">
        <x:v>HH-NGUYEN</x:v>
      </x:c>
      <x:c r="D94" s="1" t="str">
        <x:v>Little Gum Early Learning</x:v>
      </x:c>
      <x:c r="E94" s="7" t="n">
        <x:v>-285</x:v>
      </x:c>
      <x:c r="F94" s="7" t="n">
        <x:v>22833.97</x:v>
      </x:c>
      <x:c r="G94" s="1" t="str">
        <x:v>expense</x:v>
      </x:c>
      <x:c r="H94" s="1" t="str">
        <x:v>childcare</x:v>
      </x:c>
      <x:c r="I94" s="1" t="str">
        <x:v>TX-0040</x:v>
      </x:c>
      <x:c r="J94" s="1" t="str"/>
      <x:c r="K94" s="1" t="str"/>
      <x:c r="L94" s="1" t="str">
        <x:v>2025-09</x:v>
      </x:c>
    </x:row>
    <x:row r="95" ht="21" customHeight="1">
      <x:c r="A95" s="6" t="n">
        <x:v>45908</x:v>
      </x:c>
      <x:c r="B95" s="1" t="str">
        <x:v>HH-EVERYDAY</x:v>
      </x:c>
      <x:c r="C95" s="1" t="str">
        <x:v>HH-NGUYEN</x:v>
      </x:c>
      <x:c r="D95" s="1" t="str">
        <x:v>Southern Example Energy DIRECT DEBIT</x:v>
      </x:c>
      <x:c r="E95" s="7" t="n">
        <x:v>-172.9</x:v>
      </x:c>
      <x:c r="F95" s="7" t="n">
        <x:v>22661.07</x:v>
      </x:c>
      <x:c r="G95" s="1" t="str">
        <x:v>expense</x:v>
      </x:c>
      <x:c r="H95" s="1" t="str">
        <x:v>utilities</x:v>
      </x:c>
      <x:c r="I95" s="1" t="str">
        <x:v>TX-0094</x:v>
      </x:c>
      <x:c r="J95" s="1" t="str"/>
      <x:c r="K95" s="1" t="str"/>
      <x:c r="L95" s="1" t="str">
        <x:v>2025-09</x:v>
      </x:c>
    </x:row>
    <x:row r="96" ht="21" customHeight="1">
      <x:c r="A96" s="6" t="n">
        <x:v>45909</x:v>
      </x:c>
      <x:c r="B96" s="1" t="str">
        <x:v>BIZ-BANK</x:v>
      </x:c>
      <x:c r="C96" s="1" t="str">
        <x:v>BIZ-WATTLE</x:v>
      </x:c>
      <x:c r="D96" s="1" t="str">
        <x:v>Wattle Cloud subscription</x:v>
      </x:c>
      <x:c r="E96" s="7" t="n">
        <x:v>-110</x:v>
      </x:c>
      <x:c r="F96" s="7" t="n">
        <x:v>32870</x:v>
      </x:c>
      <x:c r="G96" s="1" t="str">
        <x:v>expense</x:v>
      </x:c>
      <x:c r="H96" s="1" t="str">
        <x:v>software</x:v>
      </x:c>
      <x:c r="I96" s="1" t="str">
        <x:v>TX-0105</x:v>
      </x:c>
      <x:c r="J96" s="1" t="str"/>
      <x:c r="K96" s="1" t="str"/>
      <x:c r="L96" s="1" t="str">
        <x:v>2025-09</x:v>
      </x:c>
    </x:row>
    <x:row r="97" ht="21" customHeight="1">
      <x:c r="A97" s="6" t="n">
        <x:v>45910</x:v>
      </x:c>
      <x:c r="B97" s="1" t="str">
        <x:v>HH-CARD</x:v>
      </x:c>
      <x:c r="C97" s="1" t="str">
        <x:v>HH-NGUYEN</x:v>
      </x:c>
      <x:c r="D97" s="1" t="str">
        <x:v>Banksia Cafe, Sampleton</x:v>
      </x:c>
      <x:c r="E97" s="7" t="n">
        <x:v>-6</x:v>
      </x:c>
      <x:c r="F97" s="7" t="n">
        <x:v>-144.65</x:v>
      </x:c>
      <x:c r="G97" s="1" t="str">
        <x:v>expense</x:v>
      </x:c>
      <x:c r="H97" s="1" t="str">
        <x:v>dining</x:v>
      </x:c>
      <x:c r="I97" s="1" t="str">
        <x:v>TX-0041</x:v>
      </x:c>
      <x:c r="J97" s="1" t="str"/>
      <x:c r="K97" s="1" t="str"/>
      <x:c r="L97" s="1" t="str">
        <x:v>2025-09</x:v>
      </x:c>
    </x:row>
    <x:row r="98" ht="21" customHeight="1">
      <x:c r="A98" s="6" t="n">
        <x:v>45911</x:v>
      </x:c>
      <x:c r="B98" s="1" t="str">
        <x:v>HH-EVERYDAY</x:v>
      </x:c>
      <x:c r="C98" s="1" t="str">
        <x:v>HH-NGUYEN</x:v>
      </x:c>
      <x:c r="D98" s="1" t="str">
        <x:v>PAYROLL Eucalyptus Engineering - Alex</x:v>
      </x:c>
      <x:c r="E98" s="7" t="n">
        <x:v>3650</x:v>
      </x:c>
      <x:c r="F98" s="7" t="n">
        <x:v>26311.07</x:v>
      </x:c>
      <x:c r="G98" s="1" t="str">
        <x:v>income</x:v>
      </x:c>
      <x:c r="H98" s="1" t="str">
        <x:v>salary</x:v>
      </x:c>
      <x:c r="I98" s="1" t="str">
        <x:v>TX-0058</x:v>
      </x:c>
      <x:c r="J98" s="1" t="str"/>
      <x:c r="K98" s="1" t="str"/>
      <x:c r="L98" s="1" t="str">
        <x:v>2025-09</x:v>
      </x:c>
    </x:row>
    <x:row r="99" ht="21" customHeight="1">
      <x:c r="A99" s="6" t="n">
        <x:v>45911</x:v>
      </x:c>
      <x:c r="B99" s="1" t="str">
        <x:v>HH-EVERYDAY</x:v>
      </x:c>
      <x:c r="C99" s="1" t="str">
        <x:v>HH-NGUYEN</x:v>
      </x:c>
      <x:c r="D99" s="1" t="str">
        <x:v>Sample Cover Home Insurance</x:v>
      </x:c>
      <x:c r="E99" s="7" t="n">
        <x:v>-142.3</x:v>
      </x:c>
      <x:c r="F99" s="7" t="n">
        <x:v>26168.77</x:v>
      </x:c>
      <x:c r="G99" s="1" t="str">
        <x:v>expense</x:v>
      </x:c>
      <x:c r="H99" s="1" t="str">
        <x:v>insurance</x:v>
      </x:c>
      <x:c r="I99" s="1" t="str">
        <x:v>TX-0095</x:v>
      </x:c>
      <x:c r="J99" s="1" t="str"/>
      <x:c r="K99" s="1" t="str"/>
      <x:c r="L99" s="1" t="str">
        <x:v>2025-09</x:v>
      </x:c>
    </x:row>
    <x:row r="100" ht="21" customHeight="1">
      <x:c r="A100" s="6" t="n">
        <x:v>45912</x:v>
      </x:c>
      <x:c r="B100" s="1" t="str">
        <x:v>HH-CARD</x:v>
      </x:c>
      <x:c r="C100" s="1" t="str">
        <x:v>HH-NGUYEN</x:v>
      </x:c>
      <x:c r="D100" s="1" t="str">
        <x:v>Example Fuel Stop</x:v>
      </x:c>
      <x:c r="E100" s="7" t="n">
        <x:v>-71.3</x:v>
      </x:c>
      <x:c r="F100" s="7" t="n">
        <x:v>-215.95</x:v>
      </x:c>
      <x:c r="G100" s="1" t="str">
        <x:v>expense</x:v>
      </x:c>
      <x:c r="H100" s="1" t="str">
        <x:v>transportation</x:v>
      </x:c>
      <x:c r="I100" s="1" t="str">
        <x:v>TX-0042</x:v>
      </x:c>
      <x:c r="J100" s="1" t="str"/>
      <x:c r="K100" s="1" t="str"/>
      <x:c r="L100" s="1" t="str">
        <x:v>2025-09</x:v>
      </x:c>
    </x:row>
    <x:row r="101" ht="21" customHeight="1">
      <x:c r="A101" s="6" t="n">
        <x:v>45913</x:v>
      </x:c>
      <x:c r="B101" s="1" t="str">
        <x:v>HH-EVERYDAY</x:v>
      </x:c>
      <x:c r="C101" s="1" t="str">
        <x:v>HH-NGUYEN</x:v>
      </x:c>
      <x:c r="D101" s="1" t="str">
        <x:v>Green Basket Grocers - Sampleton</x:v>
      </x:c>
      <x:c r="E101" s="7" t="n">
        <x:v>-158</x:v>
      </x:c>
      <x:c r="F101" s="7" t="n">
        <x:v>26010.77</x:v>
      </x:c>
      <x:c r="G101" s="1" t="str">
        <x:v>expense</x:v>
      </x:c>
      <x:c r="H101" s="1" t="str">
        <x:v>groceries</x:v>
      </x:c>
      <x:c r="I101" s="1" t="str">
        <x:v>TX-0043</x:v>
      </x:c>
      <x:c r="J101" s="1" t="str"/>
      <x:c r="K101" s="1" t="str"/>
      <x:c r="L101" s="1" t="str">
        <x:v>2025-09</x:v>
      </x:c>
    </x:row>
    <x:row r="102" ht="21" customHeight="1">
      <x:c r="A102" s="6" t="n">
        <x:v>45913</x:v>
      </x:c>
      <x:c r="B102" s="1" t="str">
        <x:v>BIZ-BANK</x:v>
      </x:c>
      <x:c r="C102" s="1" t="str">
        <x:v>BIZ-WATTLE</x:v>
      </x:c>
      <x:c r="D102" s="1" t="str">
        <x:v>Example Coworking desk fee</x:v>
      </x:c>
      <x:c r="E102" s="7" t="n">
        <x:v>-440</x:v>
      </x:c>
      <x:c r="F102" s="7" t="n">
        <x:v>32430</x:v>
      </x:c>
      <x:c r="G102" s="1" t="str">
        <x:v>expense</x:v>
      </x:c>
      <x:c r="H102" s="1" t="str">
        <x:v>rent_expense</x:v>
      </x:c>
      <x:c r="I102" s="1" t="str">
        <x:v>TX-0106</x:v>
      </x:c>
      <x:c r="J102" s="1" t="str"/>
      <x:c r="K102" s="1" t="str"/>
      <x:c r="L102" s="1" t="str">
        <x:v>2025-09</x:v>
      </x:c>
    </x:row>
    <x:row r="103" ht="21" customHeight="1">
      <x:c r="A103" s="6" t="n">
        <x:v>45915</x:v>
      </x:c>
      <x:c r="B103" s="1" t="str">
        <x:v>HH-EVERYDAY</x:v>
      </x:c>
      <x:c r="C103" s="1" t="str">
        <x:v>HH-NGUYEN</x:v>
      </x:c>
      <x:c r="D103" s="1" t="str">
        <x:v>Little Gum Early Learning</x:v>
      </x:c>
      <x:c r="E103" s="7" t="n">
        <x:v>-285</x:v>
      </x:c>
      <x:c r="F103" s="7" t="n">
        <x:v>25725.77</x:v>
      </x:c>
      <x:c r="G103" s="1" t="str">
        <x:v>expense</x:v>
      </x:c>
      <x:c r="H103" s="1" t="str">
        <x:v>childcare</x:v>
      </x:c>
      <x:c r="I103" s="1" t="str">
        <x:v>TX-0044</x:v>
      </x:c>
      <x:c r="J103" s="1" t="str"/>
      <x:c r="K103" s="1" t="str"/>
      <x:c r="L103" s="1" t="str">
        <x:v>2025-09</x:v>
      </x:c>
    </x:row>
    <x:row r="104" ht="21" customHeight="1">
      <x:c r="A104" s="6" t="n">
        <x:v>45915</x:v>
      </x:c>
      <x:c r="B104" s="1" t="str">
        <x:v>HH-EVERYDAY</x:v>
      </x:c>
      <x:c r="C104" s="1" t="str">
        <x:v>HH-NGUYEN</x:v>
      </x:c>
      <x:c r="D104" s="1" t="str">
        <x:v>PAYROLL Example Health Services - Morgan</x:v>
      </x:c>
      <x:c r="E104" s="7" t="n">
        <x:v>2400</x:v>
      </x:c>
      <x:c r="F104" s="7" t="n">
        <x:v>28125.77</x:v>
      </x:c>
      <x:c r="G104" s="1" t="str">
        <x:v>income</x:v>
      </x:c>
      <x:c r="H104" s="1" t="str">
        <x:v>salary</x:v>
      </x:c>
      <x:c r="I104" s="1" t="str">
        <x:v>TX-0092</x:v>
      </x:c>
      <x:c r="J104" s="1" t="str"/>
      <x:c r="K104" s="1" t="str"/>
      <x:c r="L104" s="1" t="str">
        <x:v>2025-09</x:v>
      </x:c>
    </x:row>
    <x:row r="105" ht="21" customHeight="1">
      <x:c r="A105" s="6" t="n">
        <x:v>45916</x:v>
      </x:c>
      <x:c r="B105" s="1" t="str">
        <x:v>HH-EVERYDAY</x:v>
      </x:c>
      <x:c r="C105" s="1" t="str">
        <x:v>HH-NGUYEN</x:v>
      </x:c>
      <x:c r="D105" s="1" t="str">
        <x:v>Transfer to HH-SAVINGS</x:v>
      </x:c>
      <x:c r="E105" s="7" t="n">
        <x:v>-1000</x:v>
      </x:c>
      <x:c r="F105" s="7" t="n">
        <x:v>27125.77</x:v>
      </x:c>
      <x:c r="G105" s="1" t="str">
        <x:v>transfer</x:v>
      </x:c>
      <x:c r="H105" s="1" t="str"/>
      <x:c r="I105" s="1" t="str">
        <x:v>TX-0097</x:v>
      </x:c>
      <x:c r="J105" s="1" t="str">
        <x:v>SAVE-9</x:v>
      </x:c>
      <x:c r="K105" s="1" t="str"/>
      <x:c r="L105" s="1" t="str">
        <x:v>2025-09</x:v>
      </x:c>
    </x:row>
    <x:row r="106" ht="21" customHeight="1">
      <x:c r="A106" s="6" t="n">
        <x:v>45916</x:v>
      </x:c>
      <x:c r="B106" s="1" t="str">
        <x:v>HH-SAVINGS</x:v>
      </x:c>
      <x:c r="C106" s="1" t="str">
        <x:v>HH-NGUYEN</x:v>
      </x:c>
      <x:c r="D106" s="1" t="str">
        <x:v>Transfer from HH-EVERYDAY</x:v>
      </x:c>
      <x:c r="E106" s="7" t="n">
        <x:v>1000</x:v>
      </x:c>
      <x:c r="F106" s="7" t="n">
        <x:v>28192.8</x:v>
      </x:c>
      <x:c r="G106" s="1" t="str">
        <x:v>transfer</x:v>
      </x:c>
      <x:c r="H106" s="1" t="str"/>
      <x:c r="I106" s="1" t="str">
        <x:v>TX-0098</x:v>
      </x:c>
      <x:c r="J106" s="1" t="str">
        <x:v>SAVE-9</x:v>
      </x:c>
      <x:c r="K106" s="1" t="str"/>
      <x:c r="L106" s="1" t="str">
        <x:v>2025-09</x:v>
      </x:c>
    </x:row>
    <x:row r="107" ht="21" customHeight="1">
      <x:c r="A107" s="6" t="n">
        <x:v>45917</x:v>
      </x:c>
      <x:c r="B107" s="1" t="str">
        <x:v>HH-CARD</x:v>
      </x:c>
      <x:c r="C107" s="1" t="str">
        <x:v>HH-NGUYEN</x:v>
      </x:c>
      <x:c r="D107" s="1" t="str">
        <x:v>Banksia Cafe, Sampleton</x:v>
      </x:c>
      <x:c r="E107" s="7" t="n">
        <x:v>-6.5</x:v>
      </x:c>
      <x:c r="F107" s="7" t="n">
        <x:v>-222.45</x:v>
      </x:c>
      <x:c r="G107" s="1" t="str">
        <x:v>expense</x:v>
      </x:c>
      <x:c r="H107" s="1" t="str">
        <x:v>dining</x:v>
      </x:c>
      <x:c r="I107" s="1" t="str">
        <x:v>TX-0045</x:v>
      </x:c>
      <x:c r="J107" s="1" t="str"/>
      <x:c r="K107" s="1" t="str"/>
      <x:c r="L107" s="1" t="str">
        <x:v>2025-09</x:v>
      </x:c>
    </x:row>
    <x:row r="108" ht="21" customHeight="1">
      <x:c r="A108" s="6" t="n">
        <x:v>45918</x:v>
      </x:c>
      <x:c r="B108" s="1" t="str">
        <x:v>HH-EVERYDAY</x:v>
      </x:c>
      <x:c r="C108" s="1" t="str">
        <x:v>HH-NGUYEN</x:v>
      </x:c>
      <x:c r="D108" s="1" t="str">
        <x:v>Transit wallet top-up</x:v>
      </x:c>
      <x:c r="E108" s="7" t="n">
        <x:v>-80</x:v>
      </x:c>
      <x:c r="F108" s="7" t="n">
        <x:v>27045.77</x:v>
      </x:c>
      <x:c r="G108" s="1" t="str">
        <x:v>expense</x:v>
      </x:c>
      <x:c r="H108" s="1" t="str">
        <x:v>transportation</x:v>
      </x:c>
      <x:c r="I108" s="1" t="str">
        <x:v>TX-0096</x:v>
      </x:c>
      <x:c r="J108" s="1" t="str"/>
      <x:c r="K108" s="1" t="str"/>
      <x:c r="L108" s="1" t="str">
        <x:v>2025-09</x:v>
      </x:c>
    </x:row>
    <x:row r="109" ht="21" customHeight="1">
      <x:c r="A109" s="6" t="n">
        <x:v>45919</x:v>
      </x:c>
      <x:c r="B109" s="1" t="str">
        <x:v>HH-CARD</x:v>
      </x:c>
      <x:c r="C109" s="1" t="str">
        <x:v>HH-NGUYEN</x:v>
      </x:c>
      <x:c r="D109" s="1" t="str">
        <x:v>Example Fuel Stop</x:v>
      </x:c>
      <x:c r="E109" s="7" t="n">
        <x:v>-74.45</x:v>
      </x:c>
      <x:c r="F109" s="7" t="n">
        <x:v>-296.9</x:v>
      </x:c>
      <x:c r="G109" s="1" t="str">
        <x:v>expense</x:v>
      </x:c>
      <x:c r="H109" s="1" t="str">
        <x:v>transportation</x:v>
      </x:c>
      <x:c r="I109" s="1" t="str">
        <x:v>TX-0046</x:v>
      </x:c>
      <x:c r="J109" s="1" t="str"/>
      <x:c r="K109" s="1" t="str"/>
      <x:c r="L109" s="1" t="str">
        <x:v>2025-09</x:v>
      </x:c>
    </x:row>
    <x:row r="110" ht="21" customHeight="1">
      <x:c r="A110" s="6" t="n">
        <x:v>45919</x:v>
      </x:c>
      <x:c r="B110" s="1" t="str">
        <x:v>BIZ-BANK</x:v>
      </x:c>
      <x:c r="C110" s="1" t="str">
        <x:v>BIZ-WATTLE</x:v>
      </x:c>
      <x:c r="D110" s="1" t="str">
        <x:v>Client payment WD-09-19</x:v>
      </x:c>
      <x:c r="E110" s="7" t="n">
        <x:v>2200</x:v>
      </x:c>
      <x:c r="F110" s="7" t="n">
        <x:v>34630</x:v>
      </x:c>
      <x:c r="G110" s="1" t="str">
        <x:v>business_receipt</x:v>
      </x:c>
      <x:c r="H110" s="1" t="str">
        <x:v>business_income</x:v>
      </x:c>
      <x:c r="I110" s="1" t="str">
        <x:v>TX-0104</x:v>
      </x:c>
      <x:c r="J110" s="1" t="str"/>
      <x:c r="K110" s="1" t="str"/>
      <x:c r="L110" s="1" t="str">
        <x:v>2025-09</x:v>
      </x:c>
    </x:row>
    <x:row r="111" ht="21" customHeight="1">
      <x:c r="A111" s="6" t="n">
        <x:v>45920</x:v>
      </x:c>
      <x:c r="B111" s="1" t="str">
        <x:v>HH-EVERYDAY</x:v>
      </x:c>
      <x:c r="C111" s="1" t="str">
        <x:v>HH-NGUYEN</x:v>
      </x:c>
      <x:c r="D111" s="1" t="str">
        <x:v>Green Basket Grocers - Sampleton</x:v>
      </x:c>
      <x:c r="E111" s="7" t="n">
        <x:v>-165.35</x:v>
      </x:c>
      <x:c r="F111" s="7" t="n">
        <x:v>26880.42</x:v>
      </x:c>
      <x:c r="G111" s="1" t="str">
        <x:v>expense</x:v>
      </x:c>
      <x:c r="H111" s="1" t="str">
        <x:v>groceries</x:v>
      </x:c>
      <x:c r="I111" s="1" t="str">
        <x:v>TX-0047</x:v>
      </x:c>
      <x:c r="J111" s="1" t="str"/>
      <x:c r="K111" s="1" t="str"/>
      <x:c r="L111" s="1" t="str">
        <x:v>2025-09</x:v>
      </x:c>
    </x:row>
    <x:row r="112" ht="21" customHeight="1">
      <x:c r="A112" s="6" t="n">
        <x:v>45921</x:v>
      </x:c>
      <x:c r="B112" s="1" t="str">
        <x:v>BIZ-BANK</x:v>
      </x:c>
      <x:c r="C112" s="1" t="str">
        <x:v>BIZ-WATTLE</x:v>
      </x:c>
      <x:c r="D112" s="1" t="str">
        <x:v>Print &amp; Paper Co stationery</x:v>
      </x:c>
      <x:c r="E112" s="7" t="n">
        <x:v>-55</x:v>
      </x:c>
      <x:c r="F112" s="7" t="n">
        <x:v>34575</x:v>
      </x:c>
      <x:c r="G112" s="1" t="str">
        <x:v>expense</x:v>
      </x:c>
      <x:c r="H112" s="1" t="str">
        <x:v>office_supplies</x:v>
      </x:c>
      <x:c r="I112" s="1" t="str">
        <x:v>TX-0107</x:v>
      </x:c>
      <x:c r="J112" s="1" t="str"/>
      <x:c r="K112" s="1" t="str"/>
      <x:c r="L112" s="1" t="str">
        <x:v>2025-09</x:v>
      </x:c>
    </x:row>
    <x:row r="113" ht="21" customHeight="1">
      <x:c r="A113" s="6" t="n">
        <x:v>45922</x:v>
      </x:c>
      <x:c r="B113" s="1" t="str">
        <x:v>HH-EVERYDAY</x:v>
      </x:c>
      <x:c r="C113" s="1" t="str">
        <x:v>HH-NGUYEN</x:v>
      </x:c>
      <x:c r="D113" s="1" t="str">
        <x:v>Little Gum Early Learning</x:v>
      </x:c>
      <x:c r="E113" s="7" t="n">
        <x:v>-285</x:v>
      </x:c>
      <x:c r="F113" s="7" t="n">
        <x:v>26595.42</x:v>
      </x:c>
      <x:c r="G113" s="1" t="str">
        <x:v>expense</x:v>
      </x:c>
      <x:c r="H113" s="1" t="str">
        <x:v>childcare</x:v>
      </x:c>
      <x:c r="I113" s="1" t="str">
        <x:v>TX-0048</x:v>
      </x:c>
      <x:c r="J113" s="1" t="str"/>
      <x:c r="K113" s="1" t="str"/>
      <x:c r="L113" s="1" t="str">
        <x:v>2025-09</x:v>
      </x:c>
    </x:row>
    <x:row r="114" ht="21" customHeight="1">
      <x:c r="A114" s="6" t="n">
        <x:v>45924</x:v>
      </x:c>
      <x:c r="B114" s="1" t="str">
        <x:v>HH-CARD</x:v>
      </x:c>
      <x:c r="C114" s="1" t="str">
        <x:v>HH-NGUYEN</x:v>
      </x:c>
      <x:c r="D114" s="1" t="str">
        <x:v>Banksia Cafe, Sampleton</x:v>
      </x:c>
      <x:c r="E114" s="7" t="n">
        <x:v>-5.5</x:v>
      </x:c>
      <x:c r="F114" s="7" t="n">
        <x:v>-302.4</x:v>
      </x:c>
      <x:c r="G114" s="1" t="str">
        <x:v>expense</x:v>
      </x:c>
      <x:c r="H114" s="1" t="str">
        <x:v>dining</x:v>
      </x:c>
      <x:c r="I114" s="1" t="str">
        <x:v>TX-0049</x:v>
      </x:c>
      <x:c r="J114" s="1" t="str"/>
      <x:c r="K114" s="1" t="str"/>
      <x:c r="L114" s="1" t="str">
        <x:v>2025-09</x:v>
      </x:c>
    </x:row>
    <x:row r="115" ht="21" customHeight="1">
      <x:c r="A115" s="6" t="n">
        <x:v>45925</x:v>
      </x:c>
      <x:c r="B115" s="1" t="str">
        <x:v>HH-EVERYDAY</x:v>
      </x:c>
      <x:c r="C115" s="1" t="str">
        <x:v>HH-NGUYEN</x:v>
      </x:c>
      <x:c r="D115" s="1" t="str">
        <x:v>PAYROLL Eucalyptus Engineering - Alex</x:v>
      </x:c>
      <x:c r="E115" s="7" t="n">
        <x:v>3650</x:v>
      </x:c>
      <x:c r="F115" s="7" t="n">
        <x:v>30245.42</x:v>
      </x:c>
      <x:c r="G115" s="1" t="str">
        <x:v>income</x:v>
      </x:c>
      <x:c r="H115" s="1" t="str">
        <x:v>salary</x:v>
      </x:c>
      <x:c r="I115" s="1" t="str">
        <x:v>TX-0059</x:v>
      </x:c>
      <x:c r="J115" s="1" t="str"/>
      <x:c r="K115" s="1" t="str"/>
      <x:c r="L115" s="1" t="str">
        <x:v>2025-09</x:v>
      </x:c>
    </x:row>
    <x:row r="116" ht="21" customHeight="1">
      <x:c r="A116" s="6" t="n">
        <x:v>45925</x:v>
      </x:c>
      <x:c r="B116" s="1" t="str">
        <x:v>HH-RENTAL</x:v>
      </x:c>
      <x:c r="C116" s="1" t="str">
        <x:v>HH-NGUYEN</x:v>
      </x:c>
      <x:c r="D116" s="1" t="str">
        <x:v>Paperbark Property Managers NET RENT 09</x:v>
      </x:c>
      <x:c r="E116" s="7" t="n">
        <x:v>2557.5</x:v>
      </x:c>
      <x:c r="F116" s="7" t="n">
        <x:v>6742.94</x:v>
      </x:c>
      <x:c r="G116" s="1" t="str">
        <x:v>rental_net_remittance</x:v>
      </x:c>
      <x:c r="H116" s="1" t="str">
        <x:v>needs_split</x:v>
      </x:c>
      <x:c r="I116" s="1" t="str">
        <x:v>TX-0100</x:v>
      </x:c>
      <x:c r="J116" s="1" t="str"/>
      <x:c r="K116" s="1" t="str"/>
      <x:c r="L116" s="1" t="str">
        <x:v>2025-09</x:v>
      </x:c>
    </x:row>
    <x:row r="117" ht="21" customHeight="1">
      <x:c r="A117" s="6" t="n">
        <x:v>45926</x:v>
      </x:c>
      <x:c r="B117" s="1" t="str">
        <x:v>HH-CARD</x:v>
      </x:c>
      <x:c r="C117" s="1" t="str">
        <x:v>HH-NGUYEN</x:v>
      </x:c>
      <x:c r="D117" s="1" t="str">
        <x:v>Example Fuel Stop</x:v>
      </x:c>
      <x:c r="E117" s="7" t="n">
        <x:v>-65</x:v>
      </x:c>
      <x:c r="F117" s="7" t="n">
        <x:v>-367.4</x:v>
      </x:c>
      <x:c r="G117" s="1" t="str">
        <x:v>expense</x:v>
      </x:c>
      <x:c r="H117" s="1" t="str">
        <x:v>transportation</x:v>
      </x:c>
      <x:c r="I117" s="1" t="str">
        <x:v>TX-0050</x:v>
      </x:c>
      <x:c r="J117" s="1" t="str"/>
      <x:c r="K117" s="1" t="str"/>
      <x:c r="L117" s="1" t="str">
        <x:v>2025-09</x:v>
      </x:c>
    </x:row>
    <x:row r="118" ht="21" customHeight="1">
      <x:c r="A118" s="6" t="n">
        <x:v>45927</x:v>
      </x:c>
      <x:c r="B118" s="1" t="str">
        <x:v>HH-EVERYDAY</x:v>
      </x:c>
      <x:c r="C118" s="1" t="str">
        <x:v>HH-NGUYEN</x:v>
      </x:c>
      <x:c r="D118" s="1" t="str">
        <x:v>Green Basket Grocers - Sampleton</x:v>
      </x:c>
      <x:c r="E118" s="7" t="n">
        <x:v>-172.7</x:v>
      </x:c>
      <x:c r="F118" s="7" t="n">
        <x:v>30072.72</x:v>
      </x:c>
      <x:c r="G118" s="1" t="str">
        <x:v>expense</x:v>
      </x:c>
      <x:c r="H118" s="1" t="str">
        <x:v>groceries</x:v>
      </x:c>
      <x:c r="I118" s="1" t="str">
        <x:v>TX-0051</x:v>
      </x:c>
      <x:c r="J118" s="1" t="str"/>
      <x:c r="K118" s="1" t="str"/>
      <x:c r="L118" s="1" t="str">
        <x:v>2025-09</x:v>
      </x:c>
    </x:row>
    <x:row r="119" ht="21" customHeight="1">
      <x:c r="A119" s="6" t="n">
        <x:v>45928</x:v>
      </x:c>
      <x:c r="B119" s="1" t="str">
        <x:v>HH-EVERYDAY</x:v>
      </x:c>
      <x:c r="C119" s="1" t="str">
        <x:v>HH-NGUYEN</x:v>
      </x:c>
      <x:c r="D119" s="1" t="str">
        <x:v>Transfer to HH-CARD</x:v>
      </x:c>
      <x:c r="E119" s="7" t="n">
        <x:v>-367.4</x:v>
      </x:c>
      <x:c r="F119" s="7" t="n">
        <x:v>29705.32</x:v>
      </x:c>
      <x:c r="G119" s="1" t="str">
        <x:v>card_repayment</x:v>
      </x:c>
      <x:c r="H119" s="1" t="str"/>
      <x:c r="I119" s="1" t="str">
        <x:v>TX-0118</x:v>
      </x:c>
      <x:c r="J119" s="1" t="str">
        <x:v>CARD-9</x:v>
      </x:c>
      <x:c r="K119" s="1" t="str"/>
      <x:c r="L119" s="1" t="str">
        <x:v>2025-09</x:v>
      </x:c>
    </x:row>
    <x:row r="120" ht="21" customHeight="1">
      <x:c r="A120" s="6" t="n">
        <x:v>45928</x:v>
      </x:c>
      <x:c r="B120" s="1" t="str">
        <x:v>HH-CARD</x:v>
      </x:c>
      <x:c r="C120" s="1" t="str">
        <x:v>HH-NGUYEN</x:v>
      </x:c>
      <x:c r="D120" s="1" t="str">
        <x:v>Transfer from HH-EVERYDAY</x:v>
      </x:c>
      <x:c r="E120" s="7" t="n">
        <x:v>367.4</x:v>
      </x:c>
      <x:c r="F120" s="7" t="n">
        <x:v>0</x:v>
      </x:c>
      <x:c r="G120" s="1" t="str">
        <x:v>card_repayment</x:v>
      </x:c>
      <x:c r="H120" s="1" t="str"/>
      <x:c r="I120" s="1" t="str">
        <x:v>TX-0119</x:v>
      </x:c>
      <x:c r="J120" s="1" t="str">
        <x:v>CARD-9</x:v>
      </x:c>
      <x:c r="K120" s="1" t="str"/>
      <x:c r="L120" s="1" t="str">
        <x:v>2025-09</x:v>
      </x:c>
    </x:row>
    <x:row r="121" ht="21" customHeight="1">
      <x:c r="A121" s="6" t="n">
        <x:v>45929</x:v>
      </x:c>
      <x:c r="B121" s="1" t="str">
        <x:v>HH-EVERYDAY</x:v>
      </x:c>
      <x:c r="C121" s="1" t="str">
        <x:v>HH-NGUYEN</x:v>
      </x:c>
      <x:c r="D121" s="1" t="str">
        <x:v>Little Gum Early Learning</x:v>
      </x:c>
      <x:c r="E121" s="7" t="n">
        <x:v>-285</x:v>
      </x:c>
      <x:c r="F121" s="7" t="n">
        <x:v>29420.32</x:v>
      </x:c>
      <x:c r="G121" s="1" t="str">
        <x:v>expense</x:v>
      </x:c>
      <x:c r="H121" s="1" t="str">
        <x:v>childcare</x:v>
      </x:c>
      <x:c r="I121" s="1" t="str">
        <x:v>TX-0052</x:v>
      </x:c>
      <x:c r="J121" s="1" t="str"/>
      <x:c r="K121" s="1" t="str"/>
      <x:c r="L121" s="1" t="str">
        <x:v>2025-09</x:v>
      </x:c>
    </x:row>
    <x:row r="122" ht="21" customHeight="1">
      <x:c r="A122" s="6" t="n">
        <x:v>45930</x:v>
      </x:c>
      <x:c r="B122" s="1" t="str">
        <x:v>HH-SAVINGS</x:v>
      </x:c>
      <x:c r="C122" s="1" t="str">
        <x:v>HH-NGUYEN</x:v>
      </x:c>
      <x:c r="D122" s="1" t="str">
        <x:v>Monthly interest credit</x:v>
      </x:c>
      <x:c r="E122" s="7" t="n">
        <x:v>101.2</x:v>
      </x:c>
      <x:c r="F122" s="7" t="n">
        <x:v>28294</x:v>
      </x:c>
      <x:c r="G122" s="1" t="str">
        <x:v>income</x:v>
      </x:c>
      <x:c r="H122" s="1" t="str">
        <x:v>interest_income</x:v>
      </x:c>
      <x:c r="I122" s="1" t="str">
        <x:v>TX-0099</x:v>
      </x:c>
      <x:c r="J122" s="1" t="str"/>
      <x:c r="K122" s="1" t="str"/>
      <x:c r="L122" s="1" t="str">
        <x:v>2025-09</x:v>
      </x:c>
    </x:row>
    <x:row r="123" ht="21" customHeight="1">
      <x:c r="A123" s="6" t="n">
        <x:v>45930</x:v>
      </x:c>
      <x:c r="B123" s="1" t="str">
        <x:v>HH-EVERYDAY</x:v>
      </x:c>
      <x:c r="C123" s="1" t="str">
        <x:v>HH-NGUYEN</x:v>
      </x:c>
      <x:c r="D123" s="1" t="str">
        <x:v>Southern Example Bank HOME-LOAN repayment</x:v>
      </x:c>
      <x:c r="E123" s="7" t="n">
        <x:v>-3151.17</x:v>
      </x:c>
      <x:c r="F123" s="7" t="n">
        <x:v>26269.15</x:v>
      </x:c>
      <x:c r="G123" s="1" t="str">
        <x:v>loan_repayment</x:v>
      </x:c>
      <x:c r="H123" s="1" t="str">
        <x:v>principal_and_interest</x:v>
      </x:c>
      <x:c r="I123" s="1" t="str">
        <x:v>TX-0101</x:v>
      </x:c>
      <x:c r="J123" s="1" t="str">
        <x:v>HOME-LOAN-9</x:v>
      </x:c>
      <x:c r="K123" s="1" t="str"/>
      <x:c r="L123" s="1" t="str">
        <x:v>2025-09</x:v>
      </x:c>
    </x:row>
    <x:row r="124" ht="21" customHeight="1">
      <x:c r="A124" s="6" t="n">
        <x:v>45930</x:v>
      </x:c>
      <x:c r="B124" s="1" t="str">
        <x:v>HH-RENTAL</x:v>
      </x:c>
      <x:c r="C124" s="1" t="str">
        <x:v>HH-NGUYEN</x:v>
      </x:c>
      <x:c r="D124" s="1" t="str">
        <x:v>Southern Example Bank RENTAL-LOAN repayment</x:v>
      </x:c>
      <x:c r="E124" s="7" t="n">
        <x:v>-2742.78</x:v>
      </x:c>
      <x:c r="F124" s="7" t="n">
        <x:v>4000.16</x:v>
      </x:c>
      <x:c r="G124" s="1" t="str">
        <x:v>loan_repayment</x:v>
      </x:c>
      <x:c r="H124" s="1" t="str">
        <x:v>principal_and_interest</x:v>
      </x:c>
      <x:c r="I124" s="1" t="str">
        <x:v>TX-0102</x:v>
      </x:c>
      <x:c r="J124" s="1" t="str">
        <x:v>RENTAL-LOAN-9</x:v>
      </x:c>
      <x:c r="K124" s="1" t="str"/>
      <x:c r="L124" s="1" t="str">
        <x:v>2025-09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36" hidden="0" customWidth="1"/>
    <x:col min="6" max="6" width="36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2" customHeight="1">
      <x:c r="A2" s="2" t="str">
        <x:v>Synthetic invoice register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1" t="str">
        <x:v>Fictional GST illustrations; no ABN supplied. These are not valid tax invoices. All values AUD.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Invoice ID</x:v>
      </x:c>
      <x:c r="B5" s="5" t="str">
        <x:v>Direction</x:v>
      </x:c>
      <x:c r="C5" s="5" t="str">
        <x:v>Invoice date</x:v>
      </x:c>
      <x:c r="D5" s="5" t="str">
        <x:v>Due date</x:v>
      </x:c>
      <x:c r="E5" s="5" t="str">
        <x:v>Supplier</x:v>
      </x:c>
      <x:c r="F5" s="5" t="str">
        <x:v>Customer</x:v>
      </x:c>
      <x:c r="G5" s="5" t="str">
        <x:v>Net AUD</x:v>
      </x:c>
      <x:c r="H5" s="5" t="str">
        <x:v>GST AUD</x:v>
      </x:c>
      <x:c r="I5" s="5" t="str">
        <x:v>Total AUD</x:v>
      </x:c>
      <x:c r="J5" s="5" t="str">
        <x:v>Paid date</x:v>
      </x:c>
      <x:c r="K5" s="5" t="str">
        <x:v>Account</x:v>
      </x:c>
      <x:c r="L5" s="5" t="str">
        <x:v>Status</x:v>
      </x:c>
    </x:row>
    <x:row r="6" ht="21" customHeight="1">
      <x:c r="A6" s="1" t="str">
        <x:v>WD-07-05</x:v>
      </x:c>
      <x:c r="B6" s="1" t="str">
        <x:v>issued</x:v>
      </x:c>
      <x:c r="C6" s="6" t="n">
        <x:v>45841</x:v>
      </x:c>
      <x:c r="D6" s="6" t="n">
        <x:v>45843</x:v>
      </x:c>
      <x:c r="E6" s="1" t="str">
        <x:v>Wattle Design Studio Pty Ltd</x:v>
      </x:c>
      <x:c r="F6" s="1" t="str">
        <x:v>Example Client 5</x:v>
      </x:c>
      <x:c r="G6" s="7" t="n">
        <x:v>3000</x:v>
      </x:c>
      <x:c r="H6" s="7" t="n">
        <x:v>300</x:v>
      </x:c>
      <x:c r="I6" s="7" t="n">
        <x:f>ROUND(G6+H6,2)</x:f>
        <x:v>3300</x:v>
      </x:c>
      <x:c r="J6" s="6" t="n">
        <x:v>45843</x:v>
      </x:c>
      <x:c r="K6" s="1" t="str">
        <x:v>BIZ-BANK</x:v>
      </x:c>
      <x:c r="L6" s="1" t="str">
        <x:v>paid</x:v>
      </x:c>
    </x:row>
    <x:row r="7" ht="21" customHeight="1">
      <x:c r="A7" s="1" t="str">
        <x:v>WD-07-19</x:v>
      </x:c>
      <x:c r="B7" s="1" t="str">
        <x:v>issued</x:v>
      </x:c>
      <x:c r="C7" s="6" t="n">
        <x:v>45855</x:v>
      </x:c>
      <x:c r="D7" s="6" t="n">
        <x:v>45857</x:v>
      </x:c>
      <x:c r="E7" s="1" t="str">
        <x:v>Wattle Design Studio Pty Ltd</x:v>
      </x:c>
      <x:c r="F7" s="1" t="str">
        <x:v>Example Client 19</x:v>
      </x:c>
      <x:c r="G7" s="7" t="n">
        <x:v>2000</x:v>
      </x:c>
      <x:c r="H7" s="7" t="n">
        <x:v>200</x:v>
      </x:c>
      <x:c r="I7" s="7" t="n">
        <x:f>ROUND(G7+H7,2)</x:f>
        <x:v>2200</x:v>
      </x:c>
      <x:c r="J7" s="6" t="n">
        <x:v>45857</x:v>
      </x:c>
      <x:c r="K7" s="1" t="str">
        <x:v>BIZ-BANK</x:v>
      </x:c>
      <x:c r="L7" s="1" t="str">
        <x:v>paid</x:v>
      </x:c>
    </x:row>
    <x:row r="8" ht="21" customHeight="1">
      <x:c r="A8" s="1" t="str">
        <x:v>WD-08-05</x:v>
      </x:c>
      <x:c r="B8" s="1" t="str">
        <x:v>issued</x:v>
      </x:c>
      <x:c r="C8" s="6" t="n">
        <x:v>45872</x:v>
      </x:c>
      <x:c r="D8" s="6" t="n">
        <x:v>45874</x:v>
      </x:c>
      <x:c r="E8" s="1" t="str">
        <x:v>Wattle Design Studio Pty Ltd</x:v>
      </x:c>
      <x:c r="F8" s="1" t="str">
        <x:v>Example Client 5</x:v>
      </x:c>
      <x:c r="G8" s="7" t="n">
        <x:v>3000</x:v>
      </x:c>
      <x:c r="H8" s="7" t="n">
        <x:v>300</x:v>
      </x:c>
      <x:c r="I8" s="7" t="n">
        <x:f>ROUND(G8+H8,2)</x:f>
        <x:v>3300</x:v>
      </x:c>
      <x:c r="J8" s="6" t="n">
        <x:v>45874</x:v>
      </x:c>
      <x:c r="K8" s="1" t="str">
        <x:v>BIZ-BANK</x:v>
      </x:c>
      <x:c r="L8" s="1" t="str">
        <x:v>paid</x:v>
      </x:c>
    </x:row>
    <x:row r="9" ht="21" customHeight="1">
      <x:c r="A9" s="1" t="str">
        <x:v>WD-08-19</x:v>
      </x:c>
      <x:c r="B9" s="1" t="str">
        <x:v>issued</x:v>
      </x:c>
      <x:c r="C9" s="6" t="n">
        <x:v>45886</x:v>
      </x:c>
      <x:c r="D9" s="6" t="n">
        <x:v>45888</x:v>
      </x:c>
      <x:c r="E9" s="1" t="str">
        <x:v>Wattle Design Studio Pty Ltd</x:v>
      </x:c>
      <x:c r="F9" s="1" t="str">
        <x:v>Example Client 19</x:v>
      </x:c>
      <x:c r="G9" s="7" t="n">
        <x:v>2000</x:v>
      </x:c>
      <x:c r="H9" s="7" t="n">
        <x:v>200</x:v>
      </x:c>
      <x:c r="I9" s="7" t="n">
        <x:f>ROUND(G9+H9,2)</x:f>
        <x:v>2200</x:v>
      </x:c>
      <x:c r="J9" s="6" t="n">
        <x:v>45888</x:v>
      </x:c>
      <x:c r="K9" s="1" t="str">
        <x:v>BIZ-BANK</x:v>
      </x:c>
      <x:c r="L9" s="1" t="str">
        <x:v>paid</x:v>
      </x:c>
    </x:row>
    <x:row r="10" ht="21" customHeight="1">
      <x:c r="A10" s="1" t="str">
        <x:v>WD-09-05</x:v>
      </x:c>
      <x:c r="B10" s="1" t="str">
        <x:v>issued</x:v>
      </x:c>
      <x:c r="C10" s="6" t="n">
        <x:v>45903</x:v>
      </x:c>
      <x:c r="D10" s="6" t="n">
        <x:v>45905</x:v>
      </x:c>
      <x:c r="E10" s="1" t="str">
        <x:v>Wattle Design Studio Pty Ltd</x:v>
      </x:c>
      <x:c r="F10" s="1" t="str">
        <x:v>Example Client 5</x:v>
      </x:c>
      <x:c r="G10" s="7" t="n">
        <x:v>3000</x:v>
      </x:c>
      <x:c r="H10" s="7" t="n">
        <x:v>300</x:v>
      </x:c>
      <x:c r="I10" s="7" t="n">
        <x:f>ROUND(G10+H10,2)</x:f>
        <x:v>3300</x:v>
      </x:c>
      <x:c r="J10" s="6" t="n">
        <x:v>45905</x:v>
      </x:c>
      <x:c r="K10" s="1" t="str">
        <x:v>BIZ-BANK</x:v>
      </x:c>
      <x:c r="L10" s="1" t="str">
        <x:v>paid</x:v>
      </x:c>
    </x:row>
    <x:row r="11" ht="21" customHeight="1">
      <x:c r="A11" s="1" t="str">
        <x:v>WD-09-19</x:v>
      </x:c>
      <x:c r="B11" s="1" t="str">
        <x:v>issued</x:v>
      </x:c>
      <x:c r="C11" s="6" t="n">
        <x:v>45917</x:v>
      </x:c>
      <x:c r="D11" s="6" t="n">
        <x:v>45919</x:v>
      </x:c>
      <x:c r="E11" s="1" t="str">
        <x:v>Wattle Design Studio Pty Ltd</x:v>
      </x:c>
      <x:c r="F11" s="1" t="str">
        <x:v>Example Client 19</x:v>
      </x:c>
      <x:c r="G11" s="7" t="n">
        <x:v>2000</x:v>
      </x:c>
      <x:c r="H11" s="7" t="n">
        <x:v>200</x:v>
      </x:c>
      <x:c r="I11" s="7" t="n">
        <x:f>ROUND(G11+H11,2)</x:f>
        <x:v>2200</x:v>
      </x:c>
      <x:c r="J11" s="6" t="n">
        <x:v>45919</x:v>
      </x:c>
      <x:c r="K11" s="1" t="str">
        <x:v>BIZ-BANK</x:v>
      </x:c>
      <x:c r="L11" s="1" t="str">
        <x:v>paid</x:v>
      </x:c>
    </x:row>
    <x:row r="12" ht="21" customHeight="1">
      <x:c r="A12" s="1" t="str">
        <x:v>WOS-0711</x:v>
      </x:c>
      <x:c r="B12" s="1" t="str">
        <x:v>received</x:v>
      </x:c>
      <x:c r="C12" s="6" t="n">
        <x:v>45849</x:v>
      </x:c>
      <x:c r="D12" s="6" t="n">
        <x:v>45849</x:v>
      </x:c>
      <x:c r="E12" s="1" t="str">
        <x:v>Waratah Office Supplies</x:v>
      </x:c>
      <x:c r="F12" s="1" t="str">
        <x:v>Wattle Design Studio Pty Ltd</x:v>
      </x:c>
      <x:c r="G12" s="7" t="n">
        <x:v>100</x:v>
      </x:c>
      <x:c r="H12" s="7" t="n">
        <x:v>10</x:v>
      </x:c>
      <x:c r="I12" s="7" t="n">
        <x:f>ROUND(G12+H12,2)</x:f>
        <x:v>110</x:v>
      </x:c>
      <x:c r="J12" s="6" t="n">
        <x:v>45849</x:v>
      </x:c>
      <x:c r="K12" s="1" t="str">
        <x:v>BIZ-BANK</x:v>
      </x:c>
      <x:c r="L12" s="1" t="str">
        <x:v>paid</x:v>
      </x:c>
    </x:row>
    <x:row r="13" ht="21" customHeight="1">
      <x:c r="A13" s="1" t="str">
        <x:v>WOS-0920</x:v>
      </x:c>
      <x:c r="B13" s="1" t="str">
        <x:v>received</x:v>
      </x:c>
      <x:c r="C13" s="6" t="n">
        <x:v>45920</x:v>
      </x:c>
      <x:c r="D13" s="6" t="n">
        <x:v>45934</x:v>
      </x:c>
      <x:c r="E13" s="1" t="str">
        <x:v>Waratah Office Supplies</x:v>
      </x:c>
      <x:c r="F13" s="1" t="str">
        <x:v>Wattle Design Studio Pty Ltd</x:v>
      </x:c>
      <x:c r="G13" s="7" t="n">
        <x:v>300</x:v>
      </x:c>
      <x:c r="H13" s="7" t="n">
        <x:v>30</x:v>
      </x:c>
      <x:c r="I13" s="7" t="n">
        <x:f>ROUND(G13+H13,2)</x:f>
        <x:v>330</x:v>
      </x:c>
      <x:c r="J13" s="6"/>
      <x:c r="K13" s="1" t="str">
        <x:v>BIZ-BANK</x:v>
      </x:c>
      <x:c r="L13" s="1" t="str">
        <x:v>unpaid</x:v>
      </x:c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</x:sheetData>
  <x:pageMargins left="0.7" right="0.7" top="0.75" bottom="0.75" header="0.3" footer="0.3"/>
</x:worksheet>
</file>